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royectos\integrador_carrera\extras\"/>
    </mc:Choice>
  </mc:AlternateContent>
  <xr:revisionPtr revIDLastSave="0" documentId="13_ncr:1_{A65C80C9-ED6E-4EB7-9DED-9A247FCD7A91}" xr6:coauthVersionLast="47" xr6:coauthVersionMax="47" xr10:uidLastSave="{00000000-0000-0000-0000-000000000000}"/>
  <bookViews>
    <workbookView xWindow="-110" yWindow="-110" windowWidth="25820" windowHeight="15500" xr2:uid="{00000000-000D-0000-FFFF-FFFF00000000}"/>
  </bookViews>
  <sheets>
    <sheet name="VAN " sheetId="1" r:id="rId1"/>
  </sheets>
  <definedNames>
    <definedName name="_xlnm.Print_Area" localSheetId="0">'VAN '!$A$1:$H$57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1" l="1" a="1"/>
  <c r="B48" i="1" s="1"/>
  <c r="E26" i="1"/>
  <c r="D26" i="1"/>
  <c r="E25" i="1"/>
  <c r="D25" i="1"/>
  <c r="E41" i="1"/>
  <c r="D41" i="1"/>
  <c r="C41" i="1"/>
  <c r="B41" i="1"/>
  <c r="F40" i="1"/>
  <c r="F39" i="1"/>
  <c r="F38" i="1"/>
  <c r="F37" i="1"/>
  <c r="F36" i="1"/>
  <c r="F35" i="1"/>
  <c r="F34" i="1"/>
  <c r="F33" i="1"/>
  <c r="F32" i="1"/>
  <c r="E29" i="1"/>
  <c r="E43" i="1" s="1"/>
  <c r="D29" i="1"/>
  <c r="D43" i="1" s="1"/>
  <c r="C29" i="1"/>
  <c r="C43" i="1" s="1"/>
  <c r="B29" i="1"/>
  <c r="B43" i="1" s="1"/>
  <c r="F28" i="1"/>
  <c r="F27" i="1"/>
  <c r="F26" i="1"/>
  <c r="F25" i="1"/>
  <c r="F24" i="1"/>
  <c r="F29" i="1" l="1"/>
  <c r="F41" i="1"/>
  <c r="F43" i="1" s="1"/>
</calcChain>
</file>

<file path=xl/sharedStrings.xml><?xml version="1.0" encoding="utf-8"?>
<sst xmlns="http://schemas.openxmlformats.org/spreadsheetml/2006/main" count="71" uniqueCount="67">
  <si>
    <t>RetailIQ 360° — Análisis de Valor Actual Neto (VAN)</t>
  </si>
  <si>
    <t>Escenario base — Startup SaaS de inteligencia comercial retail — Valores en USD constantes</t>
  </si>
  <si>
    <t>Valores en USD</t>
  </si>
  <si>
    <t>Año 0
(año actual)</t>
  </si>
  <si>
    <t>Año 1</t>
  </si>
  <si>
    <t>Año 2</t>
  </si>
  <si>
    <t>Año 3</t>
  </si>
  <si>
    <t>Totales</t>
  </si>
  <si>
    <t>Notas aclaratorias</t>
  </si>
  <si>
    <t>(ingresar)</t>
  </si>
  <si>
    <t>(calculado)</t>
  </si>
  <si>
    <t>1. Beneficios</t>
  </si>
  <si>
    <t>Ingresos por suscripciones — clientes piloto</t>
  </si>
  <si>
    <t>Año 0: sin ingresos (MVP académico). Año 1: 3 clientes × USD 150/mes × 12 meses (precio piloto con descuento 50%)</t>
  </si>
  <si>
    <t>Ingresos por suscripciones — clientes plenos</t>
  </si>
  <si>
    <t>Ingresos por implementación / onboarding</t>
  </si>
  <si>
    <t>Ingresos por consultoría de datos (servicio adicional)</t>
  </si>
  <si>
    <t>Horas de análisis ad-hoc para clientes existentes. Aplica a partir del Año 2 cuando hay base instalada</t>
  </si>
  <si>
    <t>Valor del activo intangible generado (plataforma)</t>
  </si>
  <si>
    <t>Valorización estimada del producto a medida que se valida comercialmente. No es flujo de caja — es valor patrimonial del negocio</t>
  </si>
  <si>
    <t>Subtotal Beneficios</t>
  </si>
  <si>
    <t>Suma de todos los beneficios por período</t>
  </si>
  <si>
    <t>2. Gastos e Inversiones</t>
  </si>
  <si>
    <t>Herramientas IA — ChatGPT Plus (1 cuenta)</t>
  </si>
  <si>
    <t>USD 20/mes × 12 meses. Cuenta compartida entre las dos integrantes del equipo</t>
  </si>
  <si>
    <t>Herramientas IA — Claude Pro (1 cuenta)</t>
  </si>
  <si>
    <t>Microsoft Office 365</t>
  </si>
  <si>
    <t>USD 10/mes × 12 meses. Plan personal — incluye Word, Excel, PowerPoint</t>
  </si>
  <si>
    <t>Infraestructura cloud (hosting, base de datos)</t>
  </si>
  <si>
    <t>Año 0-1: datos en local, sin costo. Año 2: USD 100/mes (clientes iniciales). Año 3: USD 200/mes (escala)</t>
  </si>
  <si>
    <t>Power BI Embedded (distribución a clientes)</t>
  </si>
  <si>
    <t>Año 3: USD 735/mes × 12 — SKU A1 mínimo para publicar dashboards a clientes sin que instalen Power BI Desktop</t>
  </si>
  <si>
    <t>Gastos indirectos del hogar (luz, internet)</t>
  </si>
  <si>
    <t>USD 15/mes × 2 personas × 12 meses. Fracción atribuible al proyecto del gasto doméstico total</t>
  </si>
  <si>
    <t>Legal y constitución de empresa</t>
  </si>
  <si>
    <t>Año 3: SRL USD 1.500 + registro de marca USD 800. Solo si se formaliza al tener clientes pagos</t>
  </si>
  <si>
    <t>Asesoría contable e impositiva</t>
  </si>
  <si>
    <t>Año 2: USD 50/mes × 12 (inicio facturación). Año 3: USD 150/mes × 12 (empresa formal)</t>
  </si>
  <si>
    <t>Costo oportunidad del tiempo (equipo)</t>
  </si>
  <si>
    <t>USD 1.042/mes × 2 personas × 12 meses. Basado en ARS 2.000.000 ÷ TC 1.200 ÷ 160 hs laborales × 12 hs semanales × 4 semanas</t>
  </si>
  <si>
    <t>Subtotal Gastos e Inversiones</t>
  </si>
  <si>
    <t>Suma de todos los gastos e inversiones por período</t>
  </si>
  <si>
    <t>Total Flujo de Fondos</t>
  </si>
  <si>
    <t>Beneficios − Gastos por período. Positivo = el proyecto genera más valor del que consume.</t>
  </si>
  <si>
    <t>Costo de capital (USD):</t>
  </si>
  <si>
    <t>VAN 3 años (@TNA 30%)</t>
  </si>
  <si>
    <t>Sobre la tasa de descuento (30%):</t>
  </si>
  <si>
    <t>Sobre el costo oportunidad:</t>
  </si>
  <si>
    <t>Es el ítem de gasto más significativo. Representa el ingreso que las fundadoras dejan de percibir al dedicar 12 hs semanales al proyecto en lugar de destinarlas a horas extra remuneradas u otro proyecto.</t>
  </si>
  <si>
    <t>Sobre los beneficios intangibles:</t>
  </si>
  <si>
    <t>El valor del activo intangible (la plataforma) no genera flujo de caja en los primeros años pero sí valor patrimonial. Se incluye para reflejar que el VAN financiero subestima el valor real del proyecto si se monetiza correctamente.</t>
  </si>
  <si>
    <t>Interpretación del VAN:</t>
  </si>
  <si>
    <t>Determinacion del Valor Actual Neto (VAN)</t>
  </si>
  <si>
    <t>Aclaraciones:</t>
  </si>
  <si>
    <t>1) El VAN determinado no representa el VAN del proyecto o evolutivo en su totalidad, sino que contempla solamente los ingresos y gastos determinados por el negocio. Excluye los costos asociados a la implementacion y adquisicion de soluciones tecnologicas (licencias, software, consultoria, etc). El costo total se consolidará, antes de la aprobacion final de la iniciativa (proyecto o evolutivo), por el equipo de Tecnologia</t>
  </si>
  <si>
    <t>2) Indicar todos los valores en USD</t>
  </si>
  <si>
    <t>3) La tasa de descuento utilizada para descontar los flujos de fondo (costo de capital) es determinada por Finanzas CM, y se actualizara en forma anual por el equipo de Tecnologia</t>
  </si>
  <si>
    <t>4) Los valores incluidos para cada beneficio o gasto, tiene carácter financiero y no economico, es decir, carácter de flujo (de fondos). Por ejemplo: si la iniciativa contempla alguna adquisicion que, contablemente, se amortice en 3 años, pero se paga integra en el año 1, se debe incluir el valor TOTAL en el año 1, y no los valores de amortizacion desde el año 1 al año 3.</t>
  </si>
  <si>
    <t>5) Ingresar todos los valores en la seccion "Calcular aquí". Al final del documento se detalla un ejemplo</t>
  </si>
  <si>
    <t>Como realizar la determinacion del VAN:</t>
  </si>
  <si>
    <t>1) Indicar los "Beneficios" asociados a la iniciativa (en la seccion 1), determinado el beneficio anual en USD. Agregar las premisas para el calculo en la columna "Notas aclaratorias", para cada beneficio indicado. Ingresar los valores con signo positivo.
Inlcuir en beneficios: incremento en ventas, reducciones de costos, etc</t>
  </si>
  <si>
    <t>2) Indicar los "Gastos / inversiones" asociados a la iniciativa (en la seccion 2), determinado el gasto anual en USD. Agregar las premisas para el calculo en la columna "Notas aclaratorias", para cada gasto indicado. Ingresar los valores con signo positivo.</t>
  </si>
  <si>
    <t>Incluir en gastos: costos salariales por incremento de estructura, costo de adquisicion de servicios por el negocio. NO incluir los costos de licencias, consultgorias, etc que realizara el equipo de Tecnologia para la implementacion de soluciones tecnologicas.</t>
  </si>
  <si>
    <t>Año 1: aún en validación. Año 2: 4 clientes × USD 400/mes × 12. Año 3: 10 clientes × USD 400/mes × 12</t>
  </si>
  <si>
    <t>Tarifa única por cliente nuevo: USD 500 Año 1 (3 clientes), USD 500 Año 2 (4 clientes), USD 500 Año 3 (10 clientes)</t>
  </si>
  <si>
    <t xml:space="preserve">Refleja el riesgo combinado de: startup en etapa temprana (+10%), mercado argentino en USD (+10%), sector tecnológico B2B (+10%). </t>
  </si>
  <si>
    <t xml:space="preserve">VAN &gt; 0: el proyecto genera retorno por encima de la tasa exigida — es conveniente. VAN &lt; 0: el proyecto no compensa el costo de capital a esa tasa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</si>
</sst>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USD &quot;#,##0;\(&quot;USD &quot;#,##0\);&quot;-&quot;"/>
  </numFmts>
  <fonts count="21" x14ac:knownFonts="1">
    <font>
      <sz val="11"/>
      <color theme="1"/>
      <name val="Calibri"/>
      <family val="2"/>
      <scheme val="minor"/>
    </font>
    <font>
      <sz val="11"/>
      <color theme="1"/>
      <name val="Calibri"/>
      <family val="2"/>
    </font>
    <font>
      <sz val="11"/>
      <color rgb="FFBFBFBF"/>
      <name val="Calibri"/>
      <family val="2"/>
    </font>
    <font>
      <b/>
      <sz val="13"/>
      <color rgb="FFFFFFFF"/>
      <name val="Arial"/>
      <family val="2"/>
    </font>
    <font>
      <b/>
      <sz val="11"/>
      <color theme="1"/>
      <name val="Calibri"/>
      <family val="2"/>
    </font>
    <font>
      <sz val="11"/>
      <name val="Calibri"/>
      <family val="2"/>
    </font>
    <font>
      <sz val="9"/>
      <color rgb="FF2E75B6"/>
      <name val="Arial"/>
      <family val="2"/>
    </font>
    <font>
      <b/>
      <sz val="10"/>
      <color rgb="FFFFFFFF"/>
      <name val="Arial"/>
      <family val="2"/>
    </font>
    <font>
      <sz val="9"/>
      <color rgb="FF555555"/>
      <name val="Arial"/>
      <family val="2"/>
    </font>
    <font>
      <sz val="10"/>
      <color rgb="FF000000"/>
      <name val="Arial"/>
      <family val="2"/>
    </font>
    <font>
      <sz val="10"/>
      <color rgb="FF0000FF"/>
      <name val="Arial"/>
      <family val="2"/>
    </font>
    <font>
      <b/>
      <sz val="10"/>
      <color rgb="FF000000"/>
      <name val="Arial"/>
      <family val="2"/>
    </font>
    <font>
      <sz val="10"/>
      <color rgb="FF555555"/>
      <name val="Arial"/>
      <family val="2"/>
    </font>
    <font>
      <b/>
      <sz val="10"/>
      <color rgb="FF1D6837"/>
      <name val="Arial"/>
      <family val="2"/>
    </font>
    <font>
      <sz val="10"/>
      <color rgb="FF1D6837"/>
      <name val="Arial"/>
      <family val="2"/>
    </font>
    <font>
      <b/>
      <sz val="10"/>
      <color rgb="FF7F6000"/>
      <name val="Arial"/>
      <family val="2"/>
    </font>
    <font>
      <sz val="10"/>
      <color rgb="FF7F6000"/>
      <name val="Arial"/>
      <family val="2"/>
    </font>
    <font>
      <b/>
      <sz val="11"/>
      <color rgb="FFFFFFFF"/>
      <name val="Arial"/>
      <family val="2"/>
    </font>
    <font>
      <b/>
      <sz val="9"/>
      <color rgb="FF7F6000"/>
      <name val="Arial"/>
      <family val="2"/>
    </font>
    <font>
      <sz val="9"/>
      <color rgb="FF444444"/>
      <name val="Arial"/>
      <family val="2"/>
    </font>
    <font>
      <sz val="10"/>
      <color theme="1"/>
      <name val="Calibri"/>
      <family val="2"/>
      <scheme val="minor"/>
    </font>
  </fonts>
  <fills count="9">
    <fill>
      <patternFill patternType="none"/>
    </fill>
    <fill>
      <patternFill patternType="gray125"/>
    </fill>
    <fill>
      <patternFill patternType="solid">
        <fgColor rgb="FF1F3864"/>
      </patternFill>
    </fill>
    <fill>
      <patternFill patternType="solid">
        <fgColor rgb="FFD6E4F0"/>
      </patternFill>
    </fill>
    <fill>
      <patternFill patternType="solid">
        <fgColor rgb="FFD9D9D9"/>
      </patternFill>
    </fill>
    <fill>
      <patternFill patternType="solid">
        <fgColor rgb="FFF2F2F2"/>
      </patternFill>
    </fill>
    <fill>
      <patternFill patternType="solid">
        <fgColor rgb="FFFFFFFF"/>
      </patternFill>
    </fill>
    <fill>
      <patternFill patternType="solid">
        <fgColor rgb="FFE2EFDA"/>
      </patternFill>
    </fill>
    <fill>
      <patternFill patternType="solid">
        <fgColor rgb="FFFFF2CC"/>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s>
  <cellStyleXfs count="1">
    <xf numFmtId="0" fontId="0" fillId="0" borderId="0"/>
  </cellStyleXfs>
  <cellXfs count="42">
    <xf numFmtId="0" fontId="0" fillId="0" borderId="0" xfId="0"/>
    <xf numFmtId="0" fontId="0" fillId="0" borderId="0" xfId="0" applyFont="1"/>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vertical="center"/>
    </xf>
    <xf numFmtId="0" fontId="0" fillId="0" borderId="0" xfId="0" applyFont="1"/>
    <xf numFmtId="0" fontId="4" fillId="0" borderId="2" xfId="0" applyFont="1" applyBorder="1"/>
    <xf numFmtId="0" fontId="1" fillId="0" borderId="3" xfId="0" applyFont="1" applyBorder="1"/>
    <xf numFmtId="0" fontId="1" fillId="0" borderId="4" xfId="0" applyFont="1" applyBorder="1"/>
    <xf numFmtId="0" fontId="1" fillId="0" borderId="5" xfId="0" applyFont="1" applyBorder="1" applyAlignment="1">
      <alignment horizontal="left" vertical="center" wrapText="1"/>
    </xf>
    <xf numFmtId="0" fontId="1" fillId="0" borderId="0" xfId="0" applyFont="1" applyBorder="1" applyAlignment="1">
      <alignment horizontal="left" vertical="center" wrapText="1"/>
    </xf>
    <xf numFmtId="0" fontId="5" fillId="0" borderId="6" xfId="0" applyFont="1" applyBorder="1"/>
    <xf numFmtId="0" fontId="1" fillId="0" borderId="7" xfId="0" applyFont="1" applyBorder="1"/>
    <xf numFmtId="0" fontId="1" fillId="0" borderId="8" xfId="0" applyFont="1" applyBorder="1"/>
    <xf numFmtId="0" fontId="1" fillId="0" borderId="9" xfId="0" applyFont="1" applyBorder="1"/>
    <xf numFmtId="0" fontId="0" fillId="0" borderId="0" xfId="0" applyFont="1" applyAlignment="1">
      <alignment wrapText="1"/>
    </xf>
    <xf numFmtId="0" fontId="5" fillId="0" borderId="4" xfId="0" applyFont="1" applyBorder="1"/>
    <xf numFmtId="0" fontId="1" fillId="0" borderId="0" xfId="0" applyFont="1" applyBorder="1"/>
    <xf numFmtId="0" fontId="6" fillId="3" borderId="0" xfId="0" applyFont="1" applyFill="1" applyAlignment="1">
      <alignment horizontal="center" vertical="center"/>
    </xf>
    <xf numFmtId="0" fontId="7" fillId="2" borderId="1" xfId="0" applyFont="1" applyFill="1" applyBorder="1" applyAlignment="1">
      <alignment horizontal="center" vertical="center" wrapText="1"/>
    </xf>
    <xf numFmtId="0" fontId="0" fillId="0" borderId="1" xfId="0" applyFont="1" applyBorder="1"/>
    <xf numFmtId="0" fontId="8" fillId="4" borderId="1" xfId="0" applyFont="1" applyFill="1" applyBorder="1" applyAlignment="1">
      <alignment horizontal="center" vertical="center"/>
    </xf>
    <xf numFmtId="0" fontId="3" fillId="2" borderId="0" xfId="0" applyFont="1" applyFill="1" applyAlignment="1">
      <alignment horizontal="left" vertical="center"/>
    </xf>
    <xf numFmtId="0" fontId="0" fillId="0" borderId="0" xfId="0" applyFont="1" applyAlignment="1">
      <alignment horizontal="left"/>
    </xf>
    <xf numFmtId="0" fontId="9" fillId="5" borderId="1" xfId="0" applyFont="1" applyFill="1" applyBorder="1" applyAlignment="1">
      <alignment horizontal="left" vertical="center" wrapText="1"/>
    </xf>
    <xf numFmtId="164" fontId="10" fillId="6" borderId="1" xfId="0" applyNumberFormat="1" applyFont="1" applyFill="1" applyBorder="1" applyAlignment="1">
      <alignment horizontal="center" vertical="center"/>
    </xf>
    <xf numFmtId="164" fontId="11" fillId="3" borderId="1" xfId="0" applyNumberFormat="1" applyFont="1" applyFill="1" applyBorder="1" applyAlignment="1">
      <alignment horizontal="center" vertical="center"/>
    </xf>
    <xf numFmtId="0" fontId="12" fillId="6" borderId="1" xfId="0" applyFont="1" applyFill="1" applyBorder="1" applyAlignment="1">
      <alignment horizontal="left" vertical="center" wrapText="1"/>
    </xf>
    <xf numFmtId="0" fontId="13" fillId="7" borderId="1" xfId="0" applyFont="1" applyFill="1" applyBorder="1" applyAlignment="1">
      <alignment horizontal="left" vertical="center"/>
    </xf>
    <xf numFmtId="164" fontId="13" fillId="7" borderId="1" xfId="0" applyNumberFormat="1" applyFont="1" applyFill="1" applyBorder="1" applyAlignment="1">
      <alignment horizontal="center" vertical="center"/>
    </xf>
    <xf numFmtId="0" fontId="14" fillId="7" borderId="1" xfId="0" applyFont="1" applyFill="1" applyBorder="1" applyAlignment="1">
      <alignment horizontal="left" vertical="center" shrinkToFit="1"/>
    </xf>
    <xf numFmtId="0" fontId="15" fillId="8" borderId="1" xfId="0" applyFont="1" applyFill="1" applyBorder="1" applyAlignment="1">
      <alignment horizontal="left" vertical="center"/>
    </xf>
    <xf numFmtId="164" fontId="15" fillId="8" borderId="1" xfId="0" applyNumberFormat="1" applyFont="1" applyFill="1" applyBorder="1" applyAlignment="1">
      <alignment horizontal="center" vertical="center"/>
    </xf>
    <xf numFmtId="0" fontId="16" fillId="8" borderId="1" xfId="0" applyFont="1" applyFill="1" applyBorder="1" applyAlignment="1">
      <alignment horizontal="left" vertical="center" shrinkToFit="1"/>
    </xf>
    <xf numFmtId="0" fontId="17" fillId="2" borderId="1" xfId="0" applyFont="1" applyFill="1" applyBorder="1" applyAlignment="1">
      <alignment horizontal="left" vertical="center"/>
    </xf>
    <xf numFmtId="164" fontId="17" fillId="2" borderId="1" xfId="0" applyNumberFormat="1" applyFont="1" applyFill="1" applyBorder="1" applyAlignment="1">
      <alignment horizontal="center" vertical="center"/>
    </xf>
    <xf numFmtId="0" fontId="7" fillId="2" borderId="1" xfId="0" applyFont="1" applyFill="1" applyBorder="1" applyAlignment="1">
      <alignment horizontal="left" vertical="center" shrinkToFit="1"/>
    </xf>
    <xf numFmtId="9" fontId="17" fillId="2" borderId="1" xfId="0" applyNumberFormat="1" applyFont="1" applyFill="1" applyBorder="1" applyAlignment="1">
      <alignment horizontal="center" vertical="center"/>
    </xf>
    <xf numFmtId="8" fontId="0" fillId="0" borderId="0" xfId="0" applyNumberFormat="1" applyFont="1"/>
    <xf numFmtId="0" fontId="18" fillId="8" borderId="1" xfId="0" applyFont="1" applyFill="1" applyBorder="1" applyAlignment="1">
      <alignment horizontal="left" vertical="center" wrapText="1"/>
    </xf>
    <xf numFmtId="0" fontId="19" fillId="8" borderId="1" xfId="0" applyFont="1" applyFill="1" applyBorder="1" applyAlignment="1">
      <alignment horizontal="left" vertical="center" wrapText="1"/>
    </xf>
    <xf numFmtId="0" fontId="20" fillId="0" borderId="0" xfId="0" applyFont="1"/>
  </cellXfs>
  <cellStyles count="1">
    <cellStyle name="Normal" xfId="0" builtinId="0"/>
  </cellStyles>
  <dxfs count="2">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
  <sheetViews>
    <sheetView tabSelected="1" topLeftCell="A19" zoomScaleNormal="100" workbookViewId="0">
      <selection activeCell="A19" sqref="A19:G48"/>
    </sheetView>
  </sheetViews>
  <sheetFormatPr baseColWidth="10" defaultColWidth="8.7265625" defaultRowHeight="14.5" x14ac:dyDescent="0.35"/>
  <cols>
    <col min="1" max="1" width="37.6328125" style="1" bestFit="1" customWidth="1"/>
    <col min="2" max="2" width="11.81640625" style="1" bestFit="1" customWidth="1"/>
    <col min="3" max="3" width="10.6328125" style="1" bestFit="1" customWidth="1"/>
    <col min="4" max="6" width="11.6328125" style="1" bestFit="1" customWidth="1"/>
    <col min="7" max="7" width="89.453125" style="1" customWidth="1"/>
    <col min="8" max="16384" width="8.7265625" style="1"/>
  </cols>
  <sheetData>
    <row r="1" spans="1:8" x14ac:dyDescent="0.35">
      <c r="B1" s="2"/>
      <c r="F1" s="3"/>
      <c r="G1" s="3"/>
      <c r="H1" s="3"/>
    </row>
    <row r="2" spans="1:8" ht="16.5" x14ac:dyDescent="0.35">
      <c r="A2" s="4" t="s">
        <v>52</v>
      </c>
      <c r="B2" s="5"/>
      <c r="C2" s="5"/>
      <c r="D2" s="5"/>
      <c r="E2" s="5"/>
      <c r="F2" s="5"/>
      <c r="G2" s="5"/>
    </row>
    <row r="3" spans="1:8" x14ac:dyDescent="0.35">
      <c r="B3" s="2"/>
      <c r="F3" s="3"/>
      <c r="G3" s="3"/>
      <c r="H3" s="3"/>
    </row>
    <row r="4" spans="1:8" x14ac:dyDescent="0.35">
      <c r="A4" s="6" t="s">
        <v>53</v>
      </c>
      <c r="C4" s="7"/>
      <c r="D4" s="7"/>
      <c r="E4" s="7"/>
      <c r="F4" s="7"/>
      <c r="G4" s="7"/>
      <c r="H4" s="8"/>
    </row>
    <row r="5" spans="1:8" x14ac:dyDescent="0.35">
      <c r="A5" s="9" t="s">
        <v>54</v>
      </c>
      <c r="B5" s="10"/>
      <c r="C5" s="10"/>
      <c r="D5" s="10"/>
      <c r="E5" s="10"/>
      <c r="F5" s="10"/>
      <c r="G5" s="10"/>
      <c r="H5" s="11"/>
    </row>
    <row r="6" spans="1:8" x14ac:dyDescent="0.35">
      <c r="A6" s="9" t="s">
        <v>55</v>
      </c>
      <c r="B6" s="10"/>
      <c r="C6" s="10"/>
      <c r="D6" s="10"/>
      <c r="E6" s="10"/>
      <c r="F6" s="10"/>
      <c r="G6" s="10"/>
      <c r="H6" s="11"/>
    </row>
    <row r="7" spans="1:8" x14ac:dyDescent="0.35">
      <c r="A7" s="9" t="s">
        <v>56</v>
      </c>
      <c r="B7" s="10"/>
      <c r="C7" s="10"/>
      <c r="D7" s="10"/>
      <c r="E7" s="10"/>
      <c r="F7" s="10"/>
      <c r="G7" s="10"/>
      <c r="H7" s="11"/>
    </row>
    <row r="8" spans="1:8" x14ac:dyDescent="0.35">
      <c r="A8" s="9" t="s">
        <v>57</v>
      </c>
      <c r="B8" s="10"/>
      <c r="C8" s="10"/>
      <c r="D8" s="10"/>
      <c r="E8" s="10"/>
      <c r="F8" s="10"/>
      <c r="G8" s="10"/>
      <c r="H8" s="11"/>
    </row>
    <row r="9" spans="1:8" x14ac:dyDescent="0.35">
      <c r="A9" s="9" t="s">
        <v>58</v>
      </c>
      <c r="B9" s="10"/>
      <c r="C9" s="10"/>
      <c r="D9" s="10"/>
      <c r="E9" s="10"/>
      <c r="F9" s="10"/>
      <c r="G9" s="10"/>
      <c r="H9" s="11"/>
    </row>
    <row r="10" spans="1:8" x14ac:dyDescent="0.35">
      <c r="B10" s="12"/>
      <c r="C10" s="13"/>
      <c r="D10" s="13"/>
      <c r="E10" s="13"/>
      <c r="F10" s="13"/>
      <c r="G10" s="13"/>
      <c r="H10" s="14"/>
    </row>
    <row r="12" spans="1:8" ht="16.5" x14ac:dyDescent="0.35">
      <c r="A12" s="4" t="s">
        <v>59</v>
      </c>
      <c r="B12" s="5"/>
      <c r="C12" s="5"/>
      <c r="D12" s="5"/>
      <c r="E12" s="5"/>
      <c r="F12" s="5"/>
      <c r="G12" s="5"/>
    </row>
    <row r="14" spans="1:8" x14ac:dyDescent="0.35">
      <c r="A14" s="15" t="s">
        <v>60</v>
      </c>
      <c r="B14" s="15"/>
      <c r="C14" s="15"/>
      <c r="D14" s="15"/>
      <c r="E14" s="15"/>
      <c r="F14" s="15"/>
      <c r="G14" s="15"/>
      <c r="H14" s="16"/>
    </row>
    <row r="15" spans="1:8" x14ac:dyDescent="0.35">
      <c r="A15" s="5" t="s">
        <v>61</v>
      </c>
      <c r="B15" s="5"/>
      <c r="C15" s="5"/>
      <c r="D15" s="5"/>
      <c r="E15" s="5"/>
      <c r="F15" s="5"/>
      <c r="G15" s="5"/>
      <c r="H15" s="11"/>
    </row>
    <row r="16" spans="1:8" x14ac:dyDescent="0.35">
      <c r="A16" s="5" t="s">
        <v>62</v>
      </c>
      <c r="B16" s="5"/>
      <c r="C16" s="5"/>
      <c r="D16" s="5"/>
      <c r="E16" s="5"/>
      <c r="F16" s="5"/>
      <c r="G16" s="5"/>
      <c r="H16" s="14"/>
    </row>
    <row r="17" spans="1:8" x14ac:dyDescent="0.35">
      <c r="H17" s="17"/>
    </row>
    <row r="18" spans="1:8" x14ac:dyDescent="0.35">
      <c r="H18" s="17"/>
    </row>
    <row r="19" spans="1:8" ht="16.5" x14ac:dyDescent="0.35">
      <c r="A19" s="4" t="s">
        <v>0</v>
      </c>
      <c r="B19" s="5"/>
      <c r="C19" s="5"/>
      <c r="D19" s="5"/>
      <c r="E19" s="5"/>
      <c r="F19" s="5"/>
      <c r="G19" s="5"/>
    </row>
    <row r="20" spans="1:8" x14ac:dyDescent="0.35">
      <c r="A20" s="18" t="s">
        <v>1</v>
      </c>
      <c r="B20" s="5"/>
      <c r="C20" s="5"/>
      <c r="D20" s="5"/>
      <c r="E20" s="5"/>
      <c r="F20" s="5"/>
      <c r="G20" s="5"/>
    </row>
    <row r="21" spans="1:8" ht="26" x14ac:dyDescent="0.35">
      <c r="A21" s="19" t="s">
        <v>2</v>
      </c>
      <c r="B21" s="19" t="s">
        <v>3</v>
      </c>
      <c r="C21" s="19" t="s">
        <v>4</v>
      </c>
      <c r="D21" s="19" t="s">
        <v>5</v>
      </c>
      <c r="E21" s="19" t="s">
        <v>6</v>
      </c>
      <c r="F21" s="19" t="s">
        <v>7</v>
      </c>
      <c r="G21" s="19" t="s">
        <v>8</v>
      </c>
    </row>
    <row r="22" spans="1:8" x14ac:dyDescent="0.35">
      <c r="A22" s="20"/>
      <c r="B22" s="21" t="s">
        <v>9</v>
      </c>
      <c r="C22" s="21" t="s">
        <v>9</v>
      </c>
      <c r="D22" s="21" t="s">
        <v>9</v>
      </c>
      <c r="E22" s="21" t="s">
        <v>9</v>
      </c>
      <c r="F22" s="21" t="s">
        <v>10</v>
      </c>
      <c r="G22" s="20"/>
    </row>
    <row r="23" spans="1:8" ht="16.5" x14ac:dyDescent="0.35">
      <c r="A23" s="22" t="s">
        <v>11</v>
      </c>
      <c r="B23" s="23"/>
      <c r="C23" s="23"/>
      <c r="D23" s="23"/>
      <c r="E23" s="23"/>
      <c r="F23" s="23"/>
      <c r="G23" s="23"/>
    </row>
    <row r="24" spans="1:8" s="41" customFormat="1" ht="25" x14ac:dyDescent="0.3">
      <c r="A24" s="24" t="s">
        <v>12</v>
      </c>
      <c r="B24" s="25">
        <v>0</v>
      </c>
      <c r="C24" s="25">
        <v>5400</v>
      </c>
      <c r="D24" s="25">
        <v>0</v>
      </c>
      <c r="E24" s="25">
        <v>0</v>
      </c>
      <c r="F24" s="26">
        <f t="shared" ref="F24:F28" si="0">SUM(B24:E24)</f>
        <v>5400</v>
      </c>
      <c r="G24" s="27" t="s">
        <v>13</v>
      </c>
    </row>
    <row r="25" spans="1:8" s="41" customFormat="1" ht="13" x14ac:dyDescent="0.3">
      <c r="A25" s="24" t="s">
        <v>14</v>
      </c>
      <c r="B25" s="25">
        <v>0</v>
      </c>
      <c r="C25" s="25">
        <v>0</v>
      </c>
      <c r="D25" s="25">
        <f>4*400*12</f>
        <v>19200</v>
      </c>
      <c r="E25" s="25">
        <f>10*400*12</f>
        <v>48000</v>
      </c>
      <c r="F25" s="26">
        <f t="shared" si="0"/>
        <v>67200</v>
      </c>
      <c r="G25" s="27" t="s">
        <v>63</v>
      </c>
    </row>
    <row r="26" spans="1:8" s="41" customFormat="1" ht="25" x14ac:dyDescent="0.3">
      <c r="A26" s="24" t="s">
        <v>15</v>
      </c>
      <c r="B26" s="25">
        <v>0</v>
      </c>
      <c r="C26" s="25">
        <v>1500</v>
      </c>
      <c r="D26" s="25">
        <f>500*4</f>
        <v>2000</v>
      </c>
      <c r="E26" s="25">
        <f>500*10</f>
        <v>5000</v>
      </c>
      <c r="F26" s="26">
        <f t="shared" si="0"/>
        <v>8500</v>
      </c>
      <c r="G26" s="27" t="s">
        <v>64</v>
      </c>
    </row>
    <row r="27" spans="1:8" s="41" customFormat="1" ht="25" x14ac:dyDescent="0.3">
      <c r="A27" s="24" t="s">
        <v>16</v>
      </c>
      <c r="B27" s="25">
        <v>0</v>
      </c>
      <c r="C27" s="25">
        <v>0</v>
      </c>
      <c r="D27" s="25">
        <v>1500</v>
      </c>
      <c r="E27" s="25">
        <v>4000</v>
      </c>
      <c r="F27" s="26">
        <f t="shared" si="0"/>
        <v>5500</v>
      </c>
      <c r="G27" s="27" t="s">
        <v>17</v>
      </c>
    </row>
    <row r="28" spans="1:8" s="41" customFormat="1" ht="25" x14ac:dyDescent="0.3">
      <c r="A28" s="24" t="s">
        <v>18</v>
      </c>
      <c r="B28" s="25">
        <v>0</v>
      </c>
      <c r="C28" s="25">
        <v>5000</v>
      </c>
      <c r="D28" s="25">
        <v>10000</v>
      </c>
      <c r="E28" s="25">
        <v>15000</v>
      </c>
      <c r="F28" s="26">
        <f t="shared" si="0"/>
        <v>30000</v>
      </c>
      <c r="G28" s="27" t="s">
        <v>19</v>
      </c>
    </row>
    <row r="29" spans="1:8" s="41" customFormat="1" ht="13" x14ac:dyDescent="0.3">
      <c r="A29" s="28" t="s">
        <v>20</v>
      </c>
      <c r="B29" s="29">
        <f>SUM(B24:B28)</f>
        <v>0</v>
      </c>
      <c r="C29" s="29">
        <f>SUM(C24:C28)</f>
        <v>11900</v>
      </c>
      <c r="D29" s="29">
        <f>SUM(D24:D28)</f>
        <v>32700</v>
      </c>
      <c r="E29" s="29">
        <f>SUM(E24:E28)</f>
        <v>72000</v>
      </c>
      <c r="F29" s="29">
        <f>SUM(F24:F28)</f>
        <v>116600</v>
      </c>
      <c r="G29" s="30" t="s">
        <v>21</v>
      </c>
    </row>
    <row r="30" spans="1:8" x14ac:dyDescent="0.35">
      <c r="A30" s="20"/>
      <c r="B30" s="20"/>
      <c r="C30" s="20"/>
      <c r="D30" s="20"/>
      <c r="E30" s="20"/>
      <c r="F30" s="20"/>
      <c r="G30" s="20"/>
    </row>
    <row r="31" spans="1:8" ht="16.5" x14ac:dyDescent="0.35">
      <c r="A31" s="22" t="s">
        <v>22</v>
      </c>
      <c r="B31" s="23"/>
      <c r="C31" s="23"/>
      <c r="D31" s="23"/>
      <c r="E31" s="23"/>
      <c r="F31" s="23"/>
      <c r="G31" s="23"/>
    </row>
    <row r="32" spans="1:8" s="41" customFormat="1" ht="13" x14ac:dyDescent="0.3">
      <c r="A32" s="24" t="s">
        <v>23</v>
      </c>
      <c r="B32" s="25">
        <v>240</v>
      </c>
      <c r="C32" s="25">
        <v>240</v>
      </c>
      <c r="D32" s="25">
        <v>240</v>
      </c>
      <c r="E32" s="25">
        <v>240</v>
      </c>
      <c r="F32" s="26">
        <f t="shared" ref="F32:F40" si="1">SUM(B32:E32)</f>
        <v>960</v>
      </c>
      <c r="G32" s="27" t="s">
        <v>24</v>
      </c>
    </row>
    <row r="33" spans="1:7" s="41" customFormat="1" ht="13" x14ac:dyDescent="0.3">
      <c r="A33" s="24" t="s">
        <v>25</v>
      </c>
      <c r="B33" s="25">
        <v>240</v>
      </c>
      <c r="C33" s="25">
        <v>240</v>
      </c>
      <c r="D33" s="25">
        <v>240</v>
      </c>
      <c r="E33" s="25">
        <v>240</v>
      </c>
      <c r="F33" s="26">
        <f t="shared" si="1"/>
        <v>960</v>
      </c>
      <c r="G33" s="27" t="s">
        <v>24</v>
      </c>
    </row>
    <row r="34" spans="1:7" s="41" customFormat="1" ht="13" x14ac:dyDescent="0.3">
      <c r="A34" s="24" t="s">
        <v>26</v>
      </c>
      <c r="B34" s="25">
        <v>120</v>
      </c>
      <c r="C34" s="25">
        <v>120</v>
      </c>
      <c r="D34" s="25">
        <v>120</v>
      </c>
      <c r="E34" s="25">
        <v>120</v>
      </c>
      <c r="F34" s="26">
        <f t="shared" si="1"/>
        <v>480</v>
      </c>
      <c r="G34" s="27" t="s">
        <v>27</v>
      </c>
    </row>
    <row r="35" spans="1:7" s="41" customFormat="1" ht="13" x14ac:dyDescent="0.3">
      <c r="A35" s="24" t="s">
        <v>28</v>
      </c>
      <c r="B35" s="25">
        <v>0</v>
      </c>
      <c r="C35" s="25">
        <v>0</v>
      </c>
      <c r="D35" s="25">
        <v>1200</v>
      </c>
      <c r="E35" s="25">
        <v>2400</v>
      </c>
      <c r="F35" s="26">
        <f t="shared" si="1"/>
        <v>3600</v>
      </c>
      <c r="G35" s="27" t="s">
        <v>29</v>
      </c>
    </row>
    <row r="36" spans="1:7" s="41" customFormat="1" ht="25" x14ac:dyDescent="0.3">
      <c r="A36" s="24" t="s">
        <v>30</v>
      </c>
      <c r="B36" s="25">
        <v>0</v>
      </c>
      <c r="C36" s="25">
        <v>0</v>
      </c>
      <c r="D36" s="25">
        <v>0</v>
      </c>
      <c r="E36" s="25">
        <v>8820</v>
      </c>
      <c r="F36" s="26">
        <f t="shared" si="1"/>
        <v>8820</v>
      </c>
      <c r="G36" s="27" t="s">
        <v>31</v>
      </c>
    </row>
    <row r="37" spans="1:7" s="41" customFormat="1" ht="13" x14ac:dyDescent="0.3">
      <c r="A37" s="24" t="s">
        <v>32</v>
      </c>
      <c r="B37" s="25">
        <v>360</v>
      </c>
      <c r="C37" s="25">
        <v>360</v>
      </c>
      <c r="D37" s="25">
        <v>360</v>
      </c>
      <c r="E37" s="25">
        <v>360</v>
      </c>
      <c r="F37" s="26">
        <f t="shared" si="1"/>
        <v>1440</v>
      </c>
      <c r="G37" s="27" t="s">
        <v>33</v>
      </c>
    </row>
    <row r="38" spans="1:7" s="41" customFormat="1" ht="13" x14ac:dyDescent="0.3">
      <c r="A38" s="24" t="s">
        <v>34</v>
      </c>
      <c r="B38" s="25">
        <v>0</v>
      </c>
      <c r="C38" s="25">
        <v>0</v>
      </c>
      <c r="D38" s="25">
        <v>0</v>
      </c>
      <c r="E38" s="25">
        <v>2300</v>
      </c>
      <c r="F38" s="26">
        <f t="shared" si="1"/>
        <v>2300</v>
      </c>
      <c r="G38" s="27" t="s">
        <v>35</v>
      </c>
    </row>
    <row r="39" spans="1:7" s="41" customFormat="1" ht="13" x14ac:dyDescent="0.3">
      <c r="A39" s="24" t="s">
        <v>36</v>
      </c>
      <c r="B39" s="25">
        <v>0</v>
      </c>
      <c r="C39" s="25">
        <v>0</v>
      </c>
      <c r="D39" s="25">
        <v>600</v>
      </c>
      <c r="E39" s="25">
        <v>1800</v>
      </c>
      <c r="F39" s="26">
        <f t="shared" si="1"/>
        <v>2400</v>
      </c>
      <c r="G39" s="27" t="s">
        <v>37</v>
      </c>
    </row>
    <row r="40" spans="1:7" s="41" customFormat="1" ht="25" x14ac:dyDescent="0.3">
      <c r="A40" s="24" t="s">
        <v>38</v>
      </c>
      <c r="B40" s="25">
        <v>2496</v>
      </c>
      <c r="C40" s="25">
        <v>2496</v>
      </c>
      <c r="D40" s="25">
        <v>2496</v>
      </c>
      <c r="E40" s="25">
        <v>2496</v>
      </c>
      <c r="F40" s="26">
        <f t="shared" si="1"/>
        <v>9984</v>
      </c>
      <c r="G40" s="27" t="s">
        <v>39</v>
      </c>
    </row>
    <row r="41" spans="1:7" s="41" customFormat="1" ht="13" x14ac:dyDescent="0.3">
      <c r="A41" s="31" t="s">
        <v>40</v>
      </c>
      <c r="B41" s="32">
        <f>SUM(B32:B40)</f>
        <v>3456</v>
      </c>
      <c r="C41" s="32">
        <f>SUM(C32:C40)</f>
        <v>3456</v>
      </c>
      <c r="D41" s="32">
        <f>SUM(D32:D40)</f>
        <v>5256</v>
      </c>
      <c r="E41" s="32">
        <f>SUM(E32:E40)</f>
        <v>18776</v>
      </c>
      <c r="F41" s="32">
        <f>SUM(F32:F40)</f>
        <v>30944</v>
      </c>
      <c r="G41" s="33" t="s">
        <v>41</v>
      </c>
    </row>
    <row r="42" spans="1:7" x14ac:dyDescent="0.35">
      <c r="A42" s="20"/>
      <c r="B42" s="20"/>
      <c r="C42" s="20"/>
      <c r="D42" s="20"/>
      <c r="E42" s="20"/>
      <c r="F42" s="20"/>
      <c r="G42" s="20"/>
    </row>
    <row r="43" spans="1:7" x14ac:dyDescent="0.35">
      <c r="A43" s="34" t="s">
        <v>42</v>
      </c>
      <c r="B43" s="35">
        <f>B29-B41</f>
        <v>-3456</v>
      </c>
      <c r="C43" s="35">
        <f>C29-C41</f>
        <v>8444</v>
      </c>
      <c r="D43" s="35">
        <f>D29-D41</f>
        <v>27444</v>
      </c>
      <c r="E43" s="35">
        <f>E29-E41</f>
        <v>53224</v>
      </c>
      <c r="F43" s="35">
        <f>F29-F41</f>
        <v>85656</v>
      </c>
      <c r="G43" s="36" t="s">
        <v>43</v>
      </c>
    </row>
    <row r="44" spans="1:7" x14ac:dyDescent="0.35">
      <c r="A44" s="20"/>
      <c r="B44" s="20"/>
      <c r="C44" s="20"/>
      <c r="D44" s="20"/>
      <c r="E44" s="20"/>
      <c r="F44" s="20"/>
      <c r="G44" s="20"/>
    </row>
    <row r="45" spans="1:7" x14ac:dyDescent="0.35">
      <c r="A45" s="20"/>
      <c r="B45" s="20"/>
      <c r="C45" s="20"/>
      <c r="D45" s="20"/>
      <c r="E45" s="20"/>
      <c r="F45" s="20"/>
      <c r="G45" s="20"/>
    </row>
    <row r="46" spans="1:7" x14ac:dyDescent="0.35">
      <c r="A46" s="34" t="s">
        <v>44</v>
      </c>
      <c r="B46" s="37">
        <v>0.3</v>
      </c>
      <c r="C46" s="34"/>
      <c r="D46" s="34"/>
      <c r="E46" s="34"/>
      <c r="F46" s="34"/>
      <c r="G46" s="34"/>
    </row>
    <row r="47" spans="1:7" x14ac:dyDescent="0.35">
      <c r="A47" s="20"/>
      <c r="B47" s="20"/>
      <c r="C47" s="20"/>
      <c r="D47" s="20"/>
      <c r="E47" s="20"/>
      <c r="F47" s="20"/>
      <c r="G47" s="20"/>
    </row>
    <row r="48" spans="1:7" x14ac:dyDescent="0.35">
      <c r="A48" s="34" t="s">
        <v>45</v>
      </c>
      <c r="B48" s="35">
        <f t="array" ref="B48">NPV(B46,C43:E43)+B43</f>
        <v>43504.200273099676</v>
      </c>
      <c r="C48" s="34"/>
      <c r="D48" s="34"/>
      <c r="E48" s="34"/>
      <c r="F48" s="34"/>
      <c r="G48" s="34"/>
    </row>
    <row r="49" spans="1:7" x14ac:dyDescent="0.35">
      <c r="B49" s="38"/>
    </row>
    <row r="50" spans="1:7" x14ac:dyDescent="0.35">
      <c r="A50" s="20"/>
      <c r="B50" s="20"/>
      <c r="C50" s="20"/>
      <c r="D50" s="20"/>
      <c r="E50" s="20"/>
      <c r="F50" s="20"/>
      <c r="G50" s="20"/>
    </row>
    <row r="51" spans="1:7" x14ac:dyDescent="0.35">
      <c r="A51" s="39" t="s">
        <v>46</v>
      </c>
      <c r="B51" s="40" t="s">
        <v>65</v>
      </c>
      <c r="C51" s="5"/>
      <c r="D51" s="5"/>
      <c r="E51" s="5"/>
      <c r="F51" s="5"/>
      <c r="G51" s="5"/>
    </row>
    <row r="52" spans="1:7" x14ac:dyDescent="0.35">
      <c r="A52" s="39" t="s">
        <v>47</v>
      </c>
      <c r="B52" s="40" t="s">
        <v>48</v>
      </c>
      <c r="C52" s="5"/>
      <c r="D52" s="5"/>
      <c r="E52" s="5"/>
      <c r="F52" s="5"/>
      <c r="G52" s="5"/>
    </row>
    <row r="53" spans="1:7" x14ac:dyDescent="0.35">
      <c r="A53" s="39" t="s">
        <v>49</v>
      </c>
      <c r="B53" s="40" t="s">
        <v>50</v>
      </c>
      <c r="C53" s="5"/>
      <c r="D53" s="5"/>
      <c r="E53" s="5"/>
      <c r="F53" s="5"/>
      <c r="G53" s="5"/>
    </row>
    <row r="54" spans="1:7" x14ac:dyDescent="0.35">
      <c r="A54" s="39" t="s">
        <v>51</v>
      </c>
      <c r="B54" s="40" t="s">
        <v>66</v>
      </c>
      <c r="C54" s="5"/>
      <c r="D54" s="5"/>
      <c r="E54" s="5"/>
      <c r="F54" s="5"/>
      <c r="G54" s="5"/>
    </row>
  </sheetData>
  <mergeCells count="18">
    <mergeCell ref="A16:G16"/>
    <mergeCell ref="A12:G12"/>
    <mergeCell ref="A2:G2"/>
    <mergeCell ref="A5:G5"/>
    <mergeCell ref="A6:G6"/>
    <mergeCell ref="A7:G7"/>
    <mergeCell ref="A8:G8"/>
    <mergeCell ref="A9:G9"/>
    <mergeCell ref="A14:G14"/>
    <mergeCell ref="A15:G15"/>
    <mergeCell ref="B54:G54"/>
    <mergeCell ref="B52:G52"/>
    <mergeCell ref="A20:G20"/>
    <mergeCell ref="A23:G23"/>
    <mergeCell ref="A31:G31"/>
    <mergeCell ref="B51:G51"/>
    <mergeCell ref="A19:G19"/>
    <mergeCell ref="B53:G53"/>
  </mergeCells>
  <pageMargins left="0.75" right="0.75" top="1" bottom="1" header="0.5" footer="0.5"/>
  <pageSetup paperSize="9"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VAN </vt:lpstr>
      <vt:lpstr>'VAN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Carmen Rodriguez</cp:lastModifiedBy>
  <dcterms:created xsi:type="dcterms:W3CDTF">2026-05-22T01:50:11Z</dcterms:created>
  <dcterms:modified xsi:type="dcterms:W3CDTF">2026-05-22T02:47:02Z</dcterms:modified>
</cp:coreProperties>
</file>