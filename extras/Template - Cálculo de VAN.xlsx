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yectos\integrador_carrera\extras\"/>
    </mc:Choice>
  </mc:AlternateContent>
  <xr:revisionPtr revIDLastSave="0" documentId="13_ncr:1_{A18E9B73-6EEA-4D02-B17F-6085E9B36555}" xr6:coauthVersionLast="47" xr6:coauthVersionMax="47" xr10:uidLastSave="{00000000-0000-0000-0000-000000000000}"/>
  <bookViews>
    <workbookView xWindow="-110" yWindow="-110" windowWidth="25820" windowHeight="15500" xr2:uid="{00000000-000D-0000-FFFF-FFFF00000000}"/>
  </bookViews>
  <sheets>
    <sheet name="Calculo V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1" i="1" l="1"/>
  <c r="F74" i="1"/>
  <c r="E74" i="1"/>
  <c r="D74" i="1"/>
  <c r="C74" i="1"/>
  <c r="G74" i="1" s="1"/>
  <c r="G73" i="1"/>
  <c r="G72" i="1"/>
  <c r="G71" i="1"/>
  <c r="G70" i="1"/>
  <c r="G69" i="1"/>
  <c r="G68" i="1"/>
  <c r="G67" i="1"/>
  <c r="F64" i="1"/>
  <c r="E64" i="1"/>
  <c r="D64" i="1"/>
  <c r="C64" i="1"/>
  <c r="G63" i="1"/>
  <c r="G62" i="1"/>
  <c r="G61" i="1"/>
  <c r="G60" i="1"/>
  <c r="G59" i="1"/>
  <c r="G58" i="1"/>
  <c r="G57" i="1"/>
  <c r="B47" i="1"/>
  <c r="F40" i="1"/>
  <c r="E40" i="1"/>
  <c r="D40" i="1"/>
  <c r="C40" i="1"/>
  <c r="G40" i="1" s="1"/>
  <c r="G39" i="1"/>
  <c r="G38" i="1"/>
  <c r="G37" i="1"/>
  <c r="G36" i="1"/>
  <c r="G35" i="1"/>
  <c r="G34" i="1"/>
  <c r="G33" i="1"/>
  <c r="F30" i="1"/>
  <c r="F42" i="1" s="1"/>
  <c r="E30" i="1"/>
  <c r="E42" i="1" s="1"/>
  <c r="D30" i="1"/>
  <c r="D42" i="1" s="1"/>
  <c r="C47" i="1" s="1" a="1"/>
  <c r="C47" i="1" s="1"/>
  <c r="C30" i="1"/>
  <c r="C42" i="1" s="1"/>
  <c r="G42" i="1" s="1"/>
  <c r="G29" i="1"/>
  <c r="G28" i="1"/>
  <c r="G27" i="1"/>
  <c r="G26" i="1"/>
  <c r="G25" i="1"/>
  <c r="G24" i="1"/>
  <c r="G23" i="1"/>
  <c r="G76" i="1" l="1"/>
  <c r="C81" i="1" a="1"/>
  <c r="C81" i="1" s="1"/>
  <c r="G30" i="1"/>
  <c r="G64" i="1"/>
</calcChain>
</file>

<file path=xl/sharedStrings.xml><?xml version="1.0" encoding="utf-8"?>
<sst xmlns="http://schemas.openxmlformats.org/spreadsheetml/2006/main" count="79" uniqueCount="41">
  <si>
    <t>Determinacion del Valor Actual Neto (VAN)</t>
  </si>
  <si>
    <t>Aclaraciones:</t>
  </si>
  <si>
    <t>1) El VAN determinado no representa el VAN del proyecto o evolutivo en su totalidad, sino que contempla solamente los ingresos y gastos determinados por el negocio. Excluye los costos asociados a la implementacion y adquisicion de soluciones tecnologicas (licencias, software, consultoria, etc). El costo total se consolidará, antes de la aprobacion final de la iniciativa (proyecto o evolutivo), por el equipo de Tecnologia</t>
  </si>
  <si>
    <t>2) Indicar todos los valores en USD</t>
  </si>
  <si>
    <t>3) La tasa de descuento utilizada para descontar los flujos de fondo (costo de capital) es determinada por Finanzas CM, y se actualizara en forma anual por el equipo de Tecnologia</t>
  </si>
  <si>
    <t>4) Los valores incluidos para cada beneficio o gasto, tiene carácter financiero y no economico, es decir, carácter de flujo (de fondos). Por ejemplo: si la iniciativa contempla alguna adquisicion que, contablemente, se amortice en 3 años, pero se paga integra en el año 1, se debe incluir el valor TOTAL en el año 1, y no los valores de amortizacion desde el año 1 al año 3.</t>
  </si>
  <si>
    <t>5) Ingresar todos los valores en la seccion "Calcular aquí". Al final del documento se detalla un ejemplo</t>
  </si>
  <si>
    <t>Como realizar la determinacion del VAN:</t>
  </si>
  <si>
    <t>1) Indicar los "Beneficios" asociados a la iniciativa (en la seccion 1), determinado el beneficio anual en USD. Agregar las premisas para el calculo en la columna "Notas aclaratorias", para cada beneficio indicado. Ingresar los valores con signo positivo.
Inlcuir en beneficios: incremento en ventas, reducciones de costos, etc</t>
  </si>
  <si>
    <t>2) Indicar los "Gastos / inversiones" asociados a la iniciativa (en la seccion 2), determinado el gasto anual en USD. Agregar las premisas para el calculo en la columna "Notas aclaratorias", para cada gasto indicado. Ingresar los valores con signo positivo.
Incluir en gastos: costos salariales por incremento de estructura, costo de adquisicion de servicios por el negocio. NO incluir los costos de licencias, consultgorias, etc que realizara el equipo de Tecnologia para la implementacion de soluciones tecnologicas.</t>
  </si>
  <si>
    <t>CALCULAR AQUÍ:</t>
  </si>
  <si>
    <t>Valores en USD</t>
  </si>
  <si>
    <t>(ingresar)</t>
  </si>
  <si>
    <t>(calculado)</t>
  </si>
  <si>
    <t>Año 0 
(año actual)</t>
  </si>
  <si>
    <t>Año 1</t>
  </si>
  <si>
    <t>Año 2</t>
  </si>
  <si>
    <t>Año 3</t>
  </si>
  <si>
    <t>Totales</t>
  </si>
  <si>
    <t>Notas aclaratorias</t>
  </si>
  <si>
    <t>1. Beneficios</t>
  </si>
  <si>
    <t>&lt; Beneficio 1 &gt;</t>
  </si>
  <si>
    <t>&lt; Beneficio 2 &gt;</t>
  </si>
  <si>
    <t>&lt; Beneficio …&gt;</t>
  </si>
  <si>
    <t>Subtotal Beneficios</t>
  </si>
  <si>
    <t>2. Gastos e Inversiones</t>
  </si>
  <si>
    <t>&lt; Gasto 1 &gt;</t>
  </si>
  <si>
    <t>&lt; Gasto 2 &gt;</t>
  </si>
  <si>
    <t>&lt; Gasto …&gt;</t>
  </si>
  <si>
    <t>Total Flujo de fondos</t>
  </si>
  <si>
    <t>Costo de capital (USD):</t>
  </si>
  <si>
    <t>(calculado, no modificar)</t>
  </si>
  <si>
    <t>AREA DE EJEMPLO</t>
  </si>
  <si>
    <t>Incremento en ventas</t>
  </si>
  <si>
    <t>Aumento de ventas de x% debido a que la implementacion permitira xxxx, considerando xxxx</t>
  </si>
  <si>
    <t>Reducion de costos de packaging</t>
  </si>
  <si>
    <t>Reduccion de costos de packaging porque …..</t>
  </si>
  <si>
    <t>Nuava posicion en la esctructura de xx</t>
  </si>
  <si>
    <t>Una posicion mas en la estructura de XX</t>
  </si>
  <si>
    <t>Contratacion de Consultoria negocio xx</t>
  </si>
  <si>
    <t xml:space="preserve">Contratacion de consultoria para revision de procesos 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</si>
</sst>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USD]\ #,##0"/>
    <numFmt numFmtId="165" formatCode="_-* #,##0_-;\-* #,##0_-;_-* &quot;-&quot;??_-;_-@"/>
    <numFmt numFmtId="166" formatCode="&quot;USD &quot;#,##0;\(&quot;USD &quot;#,##0\);&quot;-&quot;"/>
  </numFmts>
  <fonts count="12" x14ac:knownFonts="1">
    <font>
      <sz val="11"/>
      <color theme="1"/>
      <name val="Calibri"/>
      <scheme val="minor"/>
    </font>
    <font>
      <sz val="11"/>
      <color theme="1"/>
      <name val="Calibri"/>
    </font>
    <font>
      <sz val="11"/>
      <color rgb="FFBFBFBF"/>
      <name val="Calibri"/>
    </font>
    <font>
      <b/>
      <sz val="18"/>
      <color theme="0"/>
      <name val="Calibri"/>
    </font>
    <font>
      <b/>
      <sz val="12"/>
      <color theme="0"/>
      <name val="Calibri"/>
    </font>
    <font>
      <b/>
      <sz val="11"/>
      <color theme="1"/>
      <name val="Calibri"/>
    </font>
    <font>
      <sz val="11"/>
      <name val="Calibri"/>
    </font>
    <font>
      <b/>
      <sz val="12"/>
      <color theme="1"/>
      <name val="Calibri"/>
    </font>
    <font>
      <sz val="11"/>
      <color rgb="FFC00000"/>
      <name val="Calibri"/>
    </font>
    <font>
      <sz val="11"/>
      <color rgb="FF002060"/>
      <name val="Calibri"/>
    </font>
    <font>
      <i/>
      <sz val="10"/>
      <color rgb="FF002060"/>
      <name val="Calibri"/>
    </font>
    <font>
      <b/>
      <sz val="10"/>
      <color rgb="FF7F6000"/>
      <name val="Arial"/>
    </font>
  </fonts>
  <fills count="7">
    <fill>
      <patternFill patternType="none"/>
    </fill>
    <fill>
      <patternFill patternType="gray125"/>
    </fill>
    <fill>
      <patternFill patternType="solid">
        <fgColor rgb="FF0070C0"/>
        <bgColor rgb="FF0070C0"/>
      </patternFill>
    </fill>
    <fill>
      <patternFill patternType="solid">
        <fgColor rgb="FFD9E2F3"/>
        <bgColor rgb="FFD9E2F3"/>
      </patternFill>
    </fill>
    <fill>
      <patternFill patternType="solid">
        <fgColor rgb="FFDEBC9A"/>
        <bgColor rgb="FFDEBC9A"/>
      </patternFill>
    </fill>
    <fill>
      <patternFill patternType="solid">
        <fgColor rgb="FFFFECD9"/>
        <bgColor rgb="FFFFECD9"/>
      </patternFill>
    </fill>
    <fill>
      <patternFill patternType="solid">
        <fgColor rgb="FFFFF2CC"/>
      </patternFill>
    </fill>
  </fills>
  <borders count="33">
    <border>
      <left/>
      <right/>
      <top/>
      <bottom/>
      <diagonal/>
    </border>
    <border>
      <left/>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58">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left" vertical="center"/>
    </xf>
    <xf numFmtId="0" fontId="4" fillId="2" borderId="1" xfId="0" applyFont="1" applyFill="1" applyBorder="1"/>
    <xf numFmtId="0" fontId="1" fillId="2" borderId="1" xfId="0" applyFont="1" applyFill="1" applyBorder="1"/>
    <xf numFmtId="0" fontId="2" fillId="2" borderId="1" xfId="0" applyFont="1" applyFill="1" applyBorder="1" applyAlignment="1">
      <alignment horizontal="center"/>
    </xf>
    <xf numFmtId="0" fontId="5" fillId="0" borderId="2" xfId="0" applyFont="1" applyBorder="1"/>
    <xf numFmtId="0" fontId="1" fillId="0" borderId="3" xfId="0" applyFont="1" applyBorder="1"/>
    <xf numFmtId="0" fontId="1" fillId="0" borderId="4" xfId="0" applyFont="1" applyBorder="1"/>
    <xf numFmtId="0" fontId="1" fillId="0" borderId="7" xfId="0" applyFont="1" applyBorder="1"/>
    <xf numFmtId="0" fontId="1" fillId="0" borderId="8" xfId="0" applyFont="1" applyBorder="1"/>
    <xf numFmtId="0" fontId="1" fillId="0" borderId="9" xfId="0" applyFont="1" applyBorder="1"/>
    <xf numFmtId="0" fontId="7" fillId="3" borderId="1" xfId="0" applyFont="1" applyFill="1" applyBorder="1"/>
    <xf numFmtId="0" fontId="8" fillId="0" borderId="10" xfId="0" applyFont="1" applyBorder="1"/>
    <xf numFmtId="0" fontId="9" fillId="0" borderId="0" xfId="0" applyFont="1" applyAlignment="1">
      <alignment horizontal="center"/>
    </xf>
    <xf numFmtId="0" fontId="5" fillId="3" borderId="11" xfId="0" applyFont="1" applyFill="1" applyBorder="1" applyAlignment="1">
      <alignment horizontal="center"/>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4" borderId="15" xfId="0" applyFont="1" applyFill="1" applyBorder="1"/>
    <xf numFmtId="164" fontId="1" fillId="4" borderId="16" xfId="0" applyNumberFormat="1" applyFont="1" applyFill="1" applyBorder="1"/>
    <xf numFmtId="164" fontId="1" fillId="4" borderId="17" xfId="0" applyNumberFormat="1" applyFont="1" applyFill="1" applyBorder="1"/>
    <xf numFmtId="164" fontId="1" fillId="0" borderId="18" xfId="0" applyNumberFormat="1" applyFont="1" applyBorder="1"/>
    <xf numFmtId="0" fontId="1" fillId="0" borderId="15" xfId="0" applyFont="1" applyBorder="1" applyAlignment="1">
      <alignment horizontal="left"/>
    </xf>
    <xf numFmtId="164" fontId="1" fillId="0" borderId="16" xfId="0" applyNumberFormat="1" applyFont="1" applyBorder="1"/>
    <xf numFmtId="164" fontId="1" fillId="0" borderId="17" xfId="0" applyNumberFormat="1" applyFont="1" applyBorder="1"/>
    <xf numFmtId="0" fontId="5" fillId="5" borderId="15" xfId="0" applyFont="1" applyFill="1" applyBorder="1" applyAlignment="1">
      <alignment horizontal="left"/>
    </xf>
    <xf numFmtId="164" fontId="1" fillId="5" borderId="16" xfId="0" applyNumberFormat="1" applyFont="1" applyFill="1" applyBorder="1"/>
    <xf numFmtId="164" fontId="1" fillId="5" borderId="17" xfId="0" applyNumberFormat="1" applyFont="1" applyFill="1" applyBorder="1"/>
    <xf numFmtId="0" fontId="1" fillId="0" borderId="19" xfId="0" applyFont="1" applyBorder="1"/>
    <xf numFmtId="164" fontId="1" fillId="0" borderId="20" xfId="0" applyNumberFormat="1" applyFont="1" applyBorder="1"/>
    <xf numFmtId="164" fontId="1" fillId="0" borderId="21" xfId="0" applyNumberFormat="1" applyFont="1" applyBorder="1"/>
    <xf numFmtId="0" fontId="5" fillId="3" borderId="11" xfId="0" applyFont="1" applyFill="1" applyBorder="1"/>
    <xf numFmtId="164" fontId="5" fillId="3" borderId="12" xfId="0" applyNumberFormat="1" applyFont="1" applyFill="1" applyBorder="1"/>
    <xf numFmtId="164" fontId="5" fillId="3" borderId="13" xfId="0" applyNumberFormat="1" applyFont="1" applyFill="1" applyBorder="1"/>
    <xf numFmtId="164" fontId="1" fillId="0" borderId="22" xfId="0" applyNumberFormat="1" applyFont="1" applyBorder="1"/>
    <xf numFmtId="0" fontId="1" fillId="0" borderId="23" xfId="0" applyFont="1" applyBorder="1"/>
    <xf numFmtId="0" fontId="1" fillId="0" borderId="24" xfId="0" applyFont="1" applyBorder="1"/>
    <xf numFmtId="0" fontId="5" fillId="0" borderId="25" xfId="0" applyFont="1" applyBorder="1"/>
    <xf numFmtId="9" fontId="1" fillId="0" borderId="26" xfId="0" applyNumberFormat="1" applyFont="1" applyBorder="1"/>
    <xf numFmtId="0" fontId="10" fillId="0" borderId="0" xfId="0" applyFont="1"/>
    <xf numFmtId="0" fontId="1" fillId="0" borderId="25" xfId="0" applyFont="1" applyBorder="1"/>
    <xf numFmtId="0" fontId="1" fillId="0" borderId="26" xfId="0" applyFont="1" applyBorder="1"/>
    <xf numFmtId="0" fontId="5" fillId="3" borderId="27" xfId="0" applyFont="1" applyFill="1" applyBorder="1"/>
    <xf numFmtId="165" fontId="5" fillId="0" borderId="28" xfId="0" applyNumberFormat="1" applyFont="1" applyBorder="1" applyAlignment="1">
      <alignment horizontal="center"/>
    </xf>
    <xf numFmtId="0" fontId="1" fillId="0" borderId="29" xfId="0" applyFont="1" applyBorder="1"/>
    <xf numFmtId="0" fontId="1" fillId="0" borderId="30" xfId="0" applyFont="1" applyBorder="1"/>
    <xf numFmtId="0" fontId="1" fillId="0" borderId="31" xfId="0" applyFont="1" applyBorder="1"/>
    <xf numFmtId="0" fontId="5" fillId="3" borderId="1" xfId="0" applyFont="1" applyFill="1" applyBorder="1"/>
    <xf numFmtId="0" fontId="1" fillId="0" borderId="5" xfId="0" applyFont="1" applyBorder="1" applyAlignment="1">
      <alignment horizontal="left" vertical="center" wrapText="1"/>
    </xf>
    <xf numFmtId="0" fontId="0" fillId="0" borderId="0" xfId="0"/>
    <xf numFmtId="0" fontId="6" fillId="0" borderId="6" xfId="0" applyFont="1" applyBorder="1"/>
    <xf numFmtId="0" fontId="1" fillId="0" borderId="2" xfId="0" applyFont="1" applyBorder="1" applyAlignment="1">
      <alignment horizontal="left" vertical="center" wrapText="1"/>
    </xf>
    <xf numFmtId="0" fontId="6" fillId="0" borderId="3" xfId="0" applyFont="1" applyBorder="1"/>
    <xf numFmtId="0" fontId="6" fillId="0" borderId="4" xfId="0" applyFont="1" applyBorder="1"/>
    <xf numFmtId="166" fontId="11" fillId="6" borderId="32" xfId="0" applyNumberFormat="1" applyFont="1" applyFill="1" applyBorder="1" applyAlignment="1">
      <alignment horizontal="center" vertical="center"/>
    </xf>
  </cellXfs>
  <cellStyles count="1">
    <cellStyle name="Normal" xfId="0" builtinId="0"/>
  </cellStyles>
  <dxfs count="4">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00"/>
  <sheetViews>
    <sheetView showGridLines="0" tabSelected="1" topLeftCell="A51" workbookViewId="0">
      <selection activeCell="C76" sqref="C76:F76"/>
    </sheetView>
  </sheetViews>
  <sheetFormatPr baseColWidth="10" defaultColWidth="14.453125" defaultRowHeight="15" customHeight="1" x14ac:dyDescent="0.35"/>
  <cols>
    <col min="1" max="1" width="11.453125" customWidth="1"/>
    <col min="2" max="2" width="34.7265625" customWidth="1"/>
    <col min="3" max="6" width="12.81640625" customWidth="1"/>
    <col min="7" max="7" width="17.08984375" customWidth="1"/>
    <col min="8" max="8" width="84" customWidth="1"/>
    <col min="9" max="26" width="11.453125" customWidth="1"/>
  </cols>
  <sheetData>
    <row r="1" spans="2:8" ht="9.75" customHeight="1" x14ac:dyDescent="0.35">
      <c r="B1" s="1"/>
      <c r="F1" s="2"/>
      <c r="G1" s="2"/>
      <c r="H1" s="2"/>
    </row>
    <row r="2" spans="2:8" ht="30" customHeight="1" x14ac:dyDescent="0.35">
      <c r="B2" s="3" t="s">
        <v>0</v>
      </c>
      <c r="C2" s="4"/>
      <c r="D2" s="5"/>
      <c r="E2" s="5"/>
      <c r="F2" s="5"/>
      <c r="G2" s="6"/>
      <c r="H2" s="6"/>
    </row>
    <row r="3" spans="2:8" ht="10.5" customHeight="1" x14ac:dyDescent="0.35">
      <c r="B3" s="1"/>
      <c r="F3" s="2"/>
      <c r="G3" s="2"/>
      <c r="H3" s="2"/>
    </row>
    <row r="4" spans="2:8" ht="14.5" x14ac:dyDescent="0.35">
      <c r="B4" s="7" t="s">
        <v>1</v>
      </c>
      <c r="C4" s="8"/>
      <c r="D4" s="8"/>
      <c r="E4" s="8"/>
      <c r="F4" s="8"/>
      <c r="G4" s="8"/>
      <c r="H4" s="9"/>
    </row>
    <row r="5" spans="2:8" ht="52.5" customHeight="1" x14ac:dyDescent="0.35">
      <c r="B5" s="51" t="s">
        <v>2</v>
      </c>
      <c r="C5" s="52"/>
      <c r="D5" s="52"/>
      <c r="E5" s="52"/>
      <c r="F5" s="52"/>
      <c r="G5" s="52"/>
      <c r="H5" s="53"/>
    </row>
    <row r="6" spans="2:8" ht="18" customHeight="1" x14ac:dyDescent="0.35">
      <c r="B6" s="51" t="s">
        <v>3</v>
      </c>
      <c r="C6" s="52"/>
      <c r="D6" s="52"/>
      <c r="E6" s="52"/>
      <c r="F6" s="52"/>
      <c r="G6" s="52"/>
      <c r="H6" s="53"/>
    </row>
    <row r="7" spans="2:8" ht="24.75" customHeight="1" x14ac:dyDescent="0.35">
      <c r="B7" s="51" t="s">
        <v>4</v>
      </c>
      <c r="C7" s="52"/>
      <c r="D7" s="52"/>
      <c r="E7" s="52"/>
      <c r="F7" s="52"/>
      <c r="G7" s="52"/>
      <c r="H7" s="53"/>
    </row>
    <row r="8" spans="2:8" ht="37.5" customHeight="1" x14ac:dyDescent="0.35">
      <c r="B8" s="51" t="s">
        <v>5</v>
      </c>
      <c r="C8" s="52"/>
      <c r="D8" s="52"/>
      <c r="E8" s="52"/>
      <c r="F8" s="52"/>
      <c r="G8" s="52"/>
      <c r="H8" s="53"/>
    </row>
    <row r="9" spans="2:8" ht="28.5" customHeight="1" x14ac:dyDescent="0.35">
      <c r="B9" s="51" t="s">
        <v>6</v>
      </c>
      <c r="C9" s="52"/>
      <c r="D9" s="52"/>
      <c r="E9" s="52"/>
      <c r="F9" s="52"/>
      <c r="G9" s="52"/>
      <c r="H9" s="53"/>
    </row>
    <row r="10" spans="2:8" ht="5.25" customHeight="1" x14ac:dyDescent="0.35">
      <c r="B10" s="10"/>
      <c r="C10" s="11"/>
      <c r="D10" s="11"/>
      <c r="E10" s="11"/>
      <c r="F10" s="11"/>
      <c r="G10" s="11"/>
      <c r="H10" s="12"/>
    </row>
    <row r="12" spans="2:8" ht="15.5" x14ac:dyDescent="0.35">
      <c r="B12" s="13" t="s">
        <v>7</v>
      </c>
      <c r="C12" s="13"/>
      <c r="D12" s="13"/>
    </row>
    <row r="13" spans="2:8" ht="7.5" customHeight="1" x14ac:dyDescent="0.35"/>
    <row r="14" spans="2:8" ht="62.25" customHeight="1" x14ac:dyDescent="0.35">
      <c r="B14" s="54" t="s">
        <v>8</v>
      </c>
      <c r="C14" s="55"/>
      <c r="D14" s="55"/>
      <c r="E14" s="55"/>
      <c r="F14" s="55"/>
      <c r="G14" s="55"/>
      <c r="H14" s="56"/>
    </row>
    <row r="15" spans="2:8" ht="59.25" customHeight="1" x14ac:dyDescent="0.35">
      <c r="B15" s="51" t="s">
        <v>9</v>
      </c>
      <c r="C15" s="52"/>
      <c r="D15" s="52"/>
      <c r="E15" s="52"/>
      <c r="F15" s="52"/>
      <c r="G15" s="52"/>
      <c r="H15" s="53"/>
    </row>
    <row r="16" spans="2:8" ht="14.5" x14ac:dyDescent="0.35">
      <c r="B16" s="10"/>
      <c r="C16" s="11"/>
      <c r="D16" s="11"/>
      <c r="E16" s="11"/>
      <c r="F16" s="11"/>
      <c r="G16" s="11"/>
      <c r="H16" s="12"/>
    </row>
    <row r="18" spans="2:8" ht="15.5" x14ac:dyDescent="0.35">
      <c r="B18" s="13" t="s">
        <v>10</v>
      </c>
      <c r="C18" s="13"/>
      <c r="D18" s="13"/>
    </row>
    <row r="20" spans="2:8" ht="14.5" x14ac:dyDescent="0.35">
      <c r="B20" s="14" t="s">
        <v>11</v>
      </c>
      <c r="C20" s="15" t="s">
        <v>12</v>
      </c>
      <c r="D20" s="15" t="s">
        <v>12</v>
      </c>
      <c r="E20" s="15" t="s">
        <v>12</v>
      </c>
      <c r="F20" s="15" t="s">
        <v>12</v>
      </c>
      <c r="G20" s="15" t="s">
        <v>13</v>
      </c>
    </row>
    <row r="21" spans="2:8" ht="34" customHeight="1" x14ac:dyDescent="0.35">
      <c r="B21" s="16"/>
      <c r="C21" s="17" t="s">
        <v>14</v>
      </c>
      <c r="D21" s="18" t="s">
        <v>15</v>
      </c>
      <c r="E21" s="18" t="s">
        <v>16</v>
      </c>
      <c r="F21" s="18" t="s">
        <v>17</v>
      </c>
      <c r="G21" s="19" t="s">
        <v>18</v>
      </c>
      <c r="H21" s="20" t="s">
        <v>19</v>
      </c>
    </row>
    <row r="22" spans="2:8" ht="15.75" customHeight="1" x14ac:dyDescent="0.35">
      <c r="B22" s="21" t="s">
        <v>20</v>
      </c>
      <c r="C22" s="22"/>
      <c r="D22" s="22"/>
      <c r="E22" s="22"/>
      <c r="F22" s="22"/>
      <c r="G22" s="23"/>
      <c r="H22" s="24"/>
    </row>
    <row r="23" spans="2:8" ht="15.75" customHeight="1" x14ac:dyDescent="0.35">
      <c r="B23" s="25" t="s">
        <v>21</v>
      </c>
      <c r="C23" s="26"/>
      <c r="D23" s="26"/>
      <c r="E23" s="26"/>
      <c r="F23" s="26"/>
      <c r="G23" s="27">
        <f t="shared" ref="G23:G30" si="0">SUM(C23:F23)</f>
        <v>0</v>
      </c>
      <c r="H23" s="24"/>
    </row>
    <row r="24" spans="2:8" ht="15.75" customHeight="1" x14ac:dyDescent="0.35">
      <c r="B24" s="25" t="s">
        <v>22</v>
      </c>
      <c r="C24" s="26"/>
      <c r="D24" s="26"/>
      <c r="E24" s="26"/>
      <c r="F24" s="26"/>
      <c r="G24" s="27">
        <f t="shared" si="0"/>
        <v>0</v>
      </c>
      <c r="H24" s="24"/>
    </row>
    <row r="25" spans="2:8" ht="15.75" customHeight="1" x14ac:dyDescent="0.35">
      <c r="B25" s="25" t="s">
        <v>23</v>
      </c>
      <c r="C25" s="26"/>
      <c r="D25" s="26"/>
      <c r="E25" s="26"/>
      <c r="F25" s="26"/>
      <c r="G25" s="27">
        <f t="shared" si="0"/>
        <v>0</v>
      </c>
      <c r="H25" s="24"/>
    </row>
    <row r="26" spans="2:8" ht="15.75" customHeight="1" x14ac:dyDescent="0.35">
      <c r="B26" s="25" t="s">
        <v>23</v>
      </c>
      <c r="C26" s="26"/>
      <c r="D26" s="26"/>
      <c r="E26" s="26"/>
      <c r="F26" s="26"/>
      <c r="G26" s="27">
        <f t="shared" si="0"/>
        <v>0</v>
      </c>
      <c r="H26" s="24"/>
    </row>
    <row r="27" spans="2:8" ht="15.75" customHeight="1" x14ac:dyDescent="0.35">
      <c r="B27" s="25" t="s">
        <v>23</v>
      </c>
      <c r="C27" s="26"/>
      <c r="D27" s="26"/>
      <c r="E27" s="26"/>
      <c r="F27" s="26"/>
      <c r="G27" s="27">
        <f t="shared" si="0"/>
        <v>0</v>
      </c>
      <c r="H27" s="24"/>
    </row>
    <row r="28" spans="2:8" ht="15.75" customHeight="1" x14ac:dyDescent="0.35">
      <c r="B28" s="25" t="s">
        <v>23</v>
      </c>
      <c r="C28" s="26"/>
      <c r="D28" s="26"/>
      <c r="E28" s="26"/>
      <c r="F28" s="26"/>
      <c r="G28" s="27">
        <f t="shared" si="0"/>
        <v>0</v>
      </c>
      <c r="H28" s="24"/>
    </row>
    <row r="29" spans="2:8" ht="15.75" customHeight="1" x14ac:dyDescent="0.35">
      <c r="B29" s="25" t="s">
        <v>23</v>
      </c>
      <c r="C29" s="26"/>
      <c r="D29" s="26"/>
      <c r="E29" s="26"/>
      <c r="F29" s="26"/>
      <c r="G29" s="27">
        <f t="shared" si="0"/>
        <v>0</v>
      </c>
      <c r="H29" s="24"/>
    </row>
    <row r="30" spans="2:8" ht="15.75" customHeight="1" x14ac:dyDescent="0.35">
      <c r="B30" s="28" t="s">
        <v>24</v>
      </c>
      <c r="C30" s="29">
        <f t="shared" ref="C30:F30" si="1">SUBTOTAL(9,C23:C29)</f>
        <v>0</v>
      </c>
      <c r="D30" s="29">
        <f t="shared" si="1"/>
        <v>0</v>
      </c>
      <c r="E30" s="29">
        <f t="shared" si="1"/>
        <v>0</v>
      </c>
      <c r="F30" s="29">
        <f t="shared" si="1"/>
        <v>0</v>
      </c>
      <c r="G30" s="30">
        <f t="shared" si="0"/>
        <v>0</v>
      </c>
      <c r="H30" s="24"/>
    </row>
    <row r="31" spans="2:8" ht="6.75" customHeight="1" x14ac:dyDescent="0.35">
      <c r="B31" s="25"/>
      <c r="C31" s="26"/>
      <c r="D31" s="26"/>
      <c r="E31" s="26"/>
      <c r="F31" s="26"/>
      <c r="G31" s="27"/>
      <c r="H31" s="24"/>
    </row>
    <row r="32" spans="2:8" ht="15.75" customHeight="1" x14ac:dyDescent="0.35">
      <c r="B32" s="21" t="s">
        <v>25</v>
      </c>
      <c r="C32" s="22"/>
      <c r="D32" s="22"/>
      <c r="E32" s="22"/>
      <c r="F32" s="22"/>
      <c r="G32" s="23"/>
      <c r="H32" s="24"/>
    </row>
    <row r="33" spans="2:8" ht="15.75" customHeight="1" x14ac:dyDescent="0.35">
      <c r="B33" s="25" t="s">
        <v>26</v>
      </c>
      <c r="C33" s="26"/>
      <c r="D33" s="26"/>
      <c r="E33" s="26"/>
      <c r="F33" s="26"/>
      <c r="G33" s="27">
        <f t="shared" ref="G33:G40" si="2">SUM(C33:F33)</f>
        <v>0</v>
      </c>
      <c r="H33" s="24"/>
    </row>
    <row r="34" spans="2:8" ht="15.75" customHeight="1" x14ac:dyDescent="0.35">
      <c r="B34" s="25" t="s">
        <v>27</v>
      </c>
      <c r="C34" s="26"/>
      <c r="D34" s="26"/>
      <c r="E34" s="26"/>
      <c r="F34" s="26"/>
      <c r="G34" s="27">
        <f t="shared" si="2"/>
        <v>0</v>
      </c>
      <c r="H34" s="24"/>
    </row>
    <row r="35" spans="2:8" ht="15.75" customHeight="1" x14ac:dyDescent="0.35">
      <c r="B35" s="25" t="s">
        <v>28</v>
      </c>
      <c r="C35" s="26"/>
      <c r="D35" s="26"/>
      <c r="E35" s="26"/>
      <c r="F35" s="26"/>
      <c r="G35" s="27">
        <f t="shared" si="2"/>
        <v>0</v>
      </c>
      <c r="H35" s="24"/>
    </row>
    <row r="36" spans="2:8" ht="15.75" customHeight="1" x14ac:dyDescent="0.35">
      <c r="B36" s="25" t="s">
        <v>28</v>
      </c>
      <c r="C36" s="26"/>
      <c r="D36" s="26"/>
      <c r="E36" s="26"/>
      <c r="F36" s="26"/>
      <c r="G36" s="27">
        <f t="shared" si="2"/>
        <v>0</v>
      </c>
      <c r="H36" s="24"/>
    </row>
    <row r="37" spans="2:8" ht="15.75" customHeight="1" x14ac:dyDescent="0.35">
      <c r="B37" s="25" t="s">
        <v>28</v>
      </c>
      <c r="C37" s="26"/>
      <c r="D37" s="26"/>
      <c r="E37" s="26"/>
      <c r="F37" s="26"/>
      <c r="G37" s="27">
        <f t="shared" si="2"/>
        <v>0</v>
      </c>
      <c r="H37" s="24"/>
    </row>
    <row r="38" spans="2:8" ht="15.75" customHeight="1" x14ac:dyDescent="0.35">
      <c r="B38" s="25" t="s">
        <v>28</v>
      </c>
      <c r="C38" s="26"/>
      <c r="D38" s="26"/>
      <c r="E38" s="26"/>
      <c r="F38" s="26"/>
      <c r="G38" s="27">
        <f t="shared" si="2"/>
        <v>0</v>
      </c>
      <c r="H38" s="24"/>
    </row>
    <row r="39" spans="2:8" ht="15.75" customHeight="1" x14ac:dyDescent="0.35">
      <c r="B39" s="25" t="s">
        <v>28</v>
      </c>
      <c r="C39" s="26"/>
      <c r="D39" s="26"/>
      <c r="E39" s="26"/>
      <c r="F39" s="26"/>
      <c r="G39" s="27">
        <f t="shared" si="2"/>
        <v>0</v>
      </c>
      <c r="H39" s="24"/>
    </row>
    <row r="40" spans="2:8" ht="15.75" customHeight="1" x14ac:dyDescent="0.35">
      <c r="B40" s="28" t="s">
        <v>24</v>
      </c>
      <c r="C40" s="29">
        <f t="shared" ref="C40:F40" si="3">SUBTOTAL(9,C33:C39)</f>
        <v>0</v>
      </c>
      <c r="D40" s="29">
        <f t="shared" si="3"/>
        <v>0</v>
      </c>
      <c r="E40" s="29">
        <f t="shared" si="3"/>
        <v>0</v>
      </c>
      <c r="F40" s="29">
        <f t="shared" si="3"/>
        <v>0</v>
      </c>
      <c r="G40" s="30">
        <f t="shared" si="2"/>
        <v>0</v>
      </c>
      <c r="H40" s="24"/>
    </row>
    <row r="41" spans="2:8" ht="9" customHeight="1" x14ac:dyDescent="0.35">
      <c r="B41" s="31"/>
      <c r="C41" s="32"/>
      <c r="D41" s="32"/>
      <c r="E41" s="32"/>
      <c r="F41" s="32"/>
      <c r="G41" s="33"/>
      <c r="H41" s="24"/>
    </row>
    <row r="42" spans="2:8" ht="15.75" customHeight="1" x14ac:dyDescent="0.35">
      <c r="B42" s="34" t="s">
        <v>29</v>
      </c>
      <c r="C42" s="35">
        <f t="shared" ref="C42:F42" si="4">+C30-C40</f>
        <v>0</v>
      </c>
      <c r="D42" s="35">
        <f t="shared" si="4"/>
        <v>0</v>
      </c>
      <c r="E42" s="35">
        <f t="shared" si="4"/>
        <v>0</v>
      </c>
      <c r="F42" s="35">
        <f t="shared" si="4"/>
        <v>0</v>
      </c>
      <c r="G42" s="36">
        <f>SUM(C42:F42)</f>
        <v>0</v>
      </c>
      <c r="H42" s="37"/>
    </row>
    <row r="43" spans="2:8" ht="15.75" customHeight="1" x14ac:dyDescent="0.35"/>
    <row r="44" spans="2:8" ht="15.75" customHeight="1" x14ac:dyDescent="0.35">
      <c r="B44" s="38"/>
      <c r="C44" s="39"/>
    </row>
    <row r="45" spans="2:8" ht="15.75" customHeight="1" x14ac:dyDescent="0.35">
      <c r="B45" s="40" t="s">
        <v>30</v>
      </c>
      <c r="C45" s="41">
        <v>0.12</v>
      </c>
      <c r="D45" s="42" t="s">
        <v>31</v>
      </c>
    </row>
    <row r="46" spans="2:8" ht="15.75" customHeight="1" x14ac:dyDescent="0.35">
      <c r="B46" s="43"/>
      <c r="C46" s="44"/>
    </row>
    <row r="47" spans="2:8" ht="15.75" customHeight="1" x14ac:dyDescent="0.35">
      <c r="B47" s="45" t="str">
        <f>"VAN 3 años (@TNA " &amp;$C$45*100&amp;"%)"</f>
        <v>VAN 3 años (@TNA 12%)</v>
      </c>
      <c r="C47" s="46">
        <f t="array" ref="C47">NPV(C45,D42:F42)+C42</f>
        <v>0</v>
      </c>
      <c r="D47" s="42" t="s">
        <v>31</v>
      </c>
    </row>
    <row r="48" spans="2:8" ht="15.75" customHeight="1" x14ac:dyDescent="0.35">
      <c r="B48" s="47"/>
      <c r="C48" s="48"/>
    </row>
    <row r="49" spans="2:8" ht="15.75" customHeight="1" x14ac:dyDescent="0.35"/>
    <row r="50" spans="2:8" ht="15.75" customHeight="1" x14ac:dyDescent="0.35">
      <c r="B50" s="49"/>
      <c r="C50" s="49"/>
      <c r="D50" s="49"/>
      <c r="E50" s="49"/>
      <c r="F50" s="49"/>
      <c r="G50" s="49"/>
      <c r="H50" s="49"/>
    </row>
    <row r="51" spans="2:8" ht="15.75" customHeight="1" x14ac:dyDescent="0.35"/>
    <row r="52" spans="2:8" ht="15.75" customHeight="1" x14ac:dyDescent="0.35">
      <c r="B52" s="50" t="s">
        <v>32</v>
      </c>
    </row>
    <row r="53" spans="2:8" ht="15.75" customHeight="1" x14ac:dyDescent="0.35"/>
    <row r="54" spans="2:8" ht="15.75" customHeight="1" x14ac:dyDescent="0.35">
      <c r="B54" s="14" t="s">
        <v>11</v>
      </c>
      <c r="C54" s="15" t="s">
        <v>12</v>
      </c>
      <c r="D54" s="15" t="s">
        <v>12</v>
      </c>
      <c r="E54" s="15" t="s">
        <v>12</v>
      </c>
      <c r="F54" s="15" t="s">
        <v>12</v>
      </c>
      <c r="G54" s="15" t="s">
        <v>13</v>
      </c>
    </row>
    <row r="55" spans="2:8" ht="15.75" customHeight="1" x14ac:dyDescent="0.35">
      <c r="B55" s="16"/>
      <c r="C55" s="17" t="s">
        <v>14</v>
      </c>
      <c r="D55" s="18" t="s">
        <v>15</v>
      </c>
      <c r="E55" s="18" t="s">
        <v>16</v>
      </c>
      <c r="F55" s="18" t="s">
        <v>17</v>
      </c>
      <c r="G55" s="19" t="s">
        <v>18</v>
      </c>
      <c r="H55" s="20" t="s">
        <v>19</v>
      </c>
    </row>
    <row r="56" spans="2:8" ht="15.75" customHeight="1" x14ac:dyDescent="0.35">
      <c r="B56" s="21" t="s">
        <v>20</v>
      </c>
      <c r="C56" s="22"/>
      <c r="D56" s="22"/>
      <c r="E56" s="22"/>
      <c r="F56" s="22"/>
      <c r="G56" s="23"/>
      <c r="H56" s="24"/>
    </row>
    <row r="57" spans="2:8" ht="15.75" customHeight="1" x14ac:dyDescent="0.35">
      <c r="B57" s="25" t="s">
        <v>33</v>
      </c>
      <c r="C57" s="26"/>
      <c r="D57" s="26">
        <v>8500</v>
      </c>
      <c r="E57" s="26">
        <v>12500</v>
      </c>
      <c r="F57" s="26">
        <v>13000</v>
      </c>
      <c r="G57" s="27">
        <f t="shared" ref="G57:G64" si="5">SUM(C57:F57)</f>
        <v>34000</v>
      </c>
      <c r="H57" s="24" t="s">
        <v>34</v>
      </c>
    </row>
    <row r="58" spans="2:8" ht="15.75" customHeight="1" x14ac:dyDescent="0.35">
      <c r="B58" s="25" t="s">
        <v>35</v>
      </c>
      <c r="C58" s="26">
        <v>2000</v>
      </c>
      <c r="D58" s="26">
        <v>4500</v>
      </c>
      <c r="E58" s="26">
        <v>4500</v>
      </c>
      <c r="F58" s="26">
        <v>4500</v>
      </c>
      <c r="G58" s="27">
        <f t="shared" si="5"/>
        <v>15500</v>
      </c>
      <c r="H58" s="24" t="s">
        <v>36</v>
      </c>
    </row>
    <row r="59" spans="2:8" ht="15.75" customHeight="1" x14ac:dyDescent="0.35">
      <c r="B59" s="25"/>
      <c r="C59" s="26"/>
      <c r="D59" s="26"/>
      <c r="E59" s="26"/>
      <c r="F59" s="26"/>
      <c r="G59" s="27">
        <f t="shared" si="5"/>
        <v>0</v>
      </c>
      <c r="H59" s="24"/>
    </row>
    <row r="60" spans="2:8" ht="15.75" customHeight="1" x14ac:dyDescent="0.35">
      <c r="B60" s="25"/>
      <c r="C60" s="26"/>
      <c r="D60" s="26"/>
      <c r="E60" s="26"/>
      <c r="F60" s="26"/>
      <c r="G60" s="27">
        <f t="shared" si="5"/>
        <v>0</v>
      </c>
      <c r="H60" s="24"/>
    </row>
    <row r="61" spans="2:8" ht="15.75" customHeight="1" x14ac:dyDescent="0.35">
      <c r="B61" s="25"/>
      <c r="C61" s="26"/>
      <c r="D61" s="26"/>
      <c r="E61" s="26"/>
      <c r="F61" s="26"/>
      <c r="G61" s="27">
        <f t="shared" si="5"/>
        <v>0</v>
      </c>
      <c r="H61" s="24"/>
    </row>
    <row r="62" spans="2:8" ht="15.75" customHeight="1" x14ac:dyDescent="0.35">
      <c r="B62" s="25"/>
      <c r="C62" s="26"/>
      <c r="D62" s="26"/>
      <c r="E62" s="26"/>
      <c r="F62" s="26"/>
      <c r="G62" s="27">
        <f t="shared" si="5"/>
        <v>0</v>
      </c>
      <c r="H62" s="24"/>
    </row>
    <row r="63" spans="2:8" ht="15.75" customHeight="1" x14ac:dyDescent="0.35">
      <c r="B63" s="25"/>
      <c r="C63" s="26"/>
      <c r="D63" s="26"/>
      <c r="E63" s="26"/>
      <c r="F63" s="26"/>
      <c r="G63" s="27">
        <f t="shared" si="5"/>
        <v>0</v>
      </c>
      <c r="H63" s="24"/>
    </row>
    <row r="64" spans="2:8" ht="15.75" customHeight="1" x14ac:dyDescent="0.35">
      <c r="B64" s="28" t="s">
        <v>24</v>
      </c>
      <c r="C64" s="29">
        <f t="shared" ref="C64:F64" si="6">SUBTOTAL(9,C57:C63)</f>
        <v>2000</v>
      </c>
      <c r="D64" s="29">
        <f t="shared" si="6"/>
        <v>13000</v>
      </c>
      <c r="E64" s="29">
        <f t="shared" si="6"/>
        <v>17000</v>
      </c>
      <c r="F64" s="29">
        <f t="shared" si="6"/>
        <v>17500</v>
      </c>
      <c r="G64" s="30">
        <f t="shared" si="5"/>
        <v>49500</v>
      </c>
      <c r="H64" s="24"/>
    </row>
    <row r="65" spans="2:8" ht="15.75" customHeight="1" x14ac:dyDescent="0.35">
      <c r="B65" s="25"/>
      <c r="C65" s="26"/>
      <c r="D65" s="26"/>
      <c r="E65" s="26"/>
      <c r="F65" s="26"/>
      <c r="G65" s="27"/>
      <c r="H65" s="24"/>
    </row>
    <row r="66" spans="2:8" ht="15.75" customHeight="1" x14ac:dyDescent="0.35">
      <c r="B66" s="21" t="s">
        <v>25</v>
      </c>
      <c r="C66" s="22"/>
      <c r="D66" s="22"/>
      <c r="E66" s="22"/>
      <c r="F66" s="22"/>
      <c r="G66" s="23"/>
      <c r="H66" s="24"/>
    </row>
    <row r="67" spans="2:8" ht="15.75" customHeight="1" x14ac:dyDescent="0.35">
      <c r="B67" s="25" t="s">
        <v>37</v>
      </c>
      <c r="C67" s="26"/>
      <c r="D67" s="26">
        <v>8000</v>
      </c>
      <c r="E67" s="26">
        <v>8000</v>
      </c>
      <c r="F67" s="26">
        <v>8000</v>
      </c>
      <c r="G67" s="27">
        <f t="shared" ref="G67:G74" si="7">SUM(C67:F67)</f>
        <v>24000</v>
      </c>
      <c r="H67" s="24" t="s">
        <v>38</v>
      </c>
    </row>
    <row r="68" spans="2:8" ht="15.75" customHeight="1" x14ac:dyDescent="0.35">
      <c r="B68" s="25" t="s">
        <v>39</v>
      </c>
      <c r="C68" s="26">
        <v>4000</v>
      </c>
      <c r="D68" s="26"/>
      <c r="E68" s="26"/>
      <c r="F68" s="26"/>
      <c r="G68" s="27">
        <f t="shared" si="7"/>
        <v>4000</v>
      </c>
      <c r="H68" s="24" t="s">
        <v>40</v>
      </c>
    </row>
    <row r="69" spans="2:8" ht="15.75" customHeight="1" x14ac:dyDescent="0.35">
      <c r="B69" s="25" t="s">
        <v>28</v>
      </c>
      <c r="C69" s="26"/>
      <c r="D69" s="26"/>
      <c r="E69" s="26"/>
      <c r="F69" s="26"/>
      <c r="G69" s="27">
        <f t="shared" si="7"/>
        <v>0</v>
      </c>
      <c r="H69" s="24"/>
    </row>
    <row r="70" spans="2:8" ht="15.75" customHeight="1" x14ac:dyDescent="0.35">
      <c r="B70" s="25" t="s">
        <v>28</v>
      </c>
      <c r="C70" s="26"/>
      <c r="D70" s="26"/>
      <c r="E70" s="26"/>
      <c r="F70" s="26"/>
      <c r="G70" s="27">
        <f t="shared" si="7"/>
        <v>0</v>
      </c>
      <c r="H70" s="24"/>
    </row>
    <row r="71" spans="2:8" ht="15.75" customHeight="1" x14ac:dyDescent="0.35">
      <c r="B71" s="25" t="s">
        <v>28</v>
      </c>
      <c r="C71" s="26"/>
      <c r="D71" s="26"/>
      <c r="E71" s="26"/>
      <c r="F71" s="26"/>
      <c r="G71" s="27">
        <f t="shared" si="7"/>
        <v>0</v>
      </c>
      <c r="H71" s="24"/>
    </row>
    <row r="72" spans="2:8" ht="15.75" customHeight="1" x14ac:dyDescent="0.35">
      <c r="B72" s="25" t="s">
        <v>28</v>
      </c>
      <c r="C72" s="26"/>
      <c r="D72" s="26"/>
      <c r="E72" s="26"/>
      <c r="F72" s="26"/>
      <c r="G72" s="27">
        <f t="shared" si="7"/>
        <v>0</v>
      </c>
      <c r="H72" s="24"/>
    </row>
    <row r="73" spans="2:8" ht="15.75" customHeight="1" x14ac:dyDescent="0.35">
      <c r="B73" s="25" t="s">
        <v>28</v>
      </c>
      <c r="C73" s="26"/>
      <c r="D73" s="26"/>
      <c r="E73" s="26"/>
      <c r="F73" s="26"/>
      <c r="G73" s="27">
        <f t="shared" si="7"/>
        <v>0</v>
      </c>
      <c r="H73" s="24"/>
    </row>
    <row r="74" spans="2:8" ht="15.75" customHeight="1" x14ac:dyDescent="0.35">
      <c r="B74" s="28" t="s">
        <v>24</v>
      </c>
      <c r="C74" s="29">
        <f t="shared" ref="C74:F74" si="8">SUBTOTAL(9,C67:C73)</f>
        <v>4000</v>
      </c>
      <c r="D74" s="29">
        <f t="shared" si="8"/>
        <v>8000</v>
      </c>
      <c r="E74" s="29">
        <f t="shared" si="8"/>
        <v>8000</v>
      </c>
      <c r="F74" s="29">
        <f t="shared" si="8"/>
        <v>8000</v>
      </c>
      <c r="G74" s="30">
        <f t="shared" si="7"/>
        <v>28000</v>
      </c>
      <c r="H74" s="24"/>
    </row>
    <row r="75" spans="2:8" ht="15.75" customHeight="1" x14ac:dyDescent="0.35">
      <c r="B75" s="31"/>
      <c r="C75" s="32"/>
      <c r="D75" s="32"/>
      <c r="E75" s="32"/>
      <c r="F75" s="32"/>
      <c r="G75" s="33"/>
      <c r="H75" s="24"/>
    </row>
    <row r="76" spans="2:8" ht="15.75" customHeight="1" x14ac:dyDescent="0.35">
      <c r="B76" s="34" t="s">
        <v>29</v>
      </c>
      <c r="C76" s="57">
        <v>-3456</v>
      </c>
      <c r="D76" s="57">
        <v>8444</v>
      </c>
      <c r="E76" s="57">
        <v>27444</v>
      </c>
      <c r="F76" s="57">
        <v>53224</v>
      </c>
      <c r="G76" s="36">
        <f>SUM(C76:F76)</f>
        <v>85656</v>
      </c>
      <c r="H76" s="37"/>
    </row>
    <row r="77" spans="2:8" ht="15.75" customHeight="1" x14ac:dyDescent="0.35"/>
    <row r="78" spans="2:8" ht="15.75" customHeight="1" x14ac:dyDescent="0.35">
      <c r="B78" s="38"/>
      <c r="C78" s="39"/>
    </row>
    <row r="79" spans="2:8" ht="15.75" customHeight="1" x14ac:dyDescent="0.35">
      <c r="B79" s="40" t="s">
        <v>30</v>
      </c>
      <c r="C79" s="41">
        <v>0.12</v>
      </c>
      <c r="D79" s="42" t="s">
        <v>31</v>
      </c>
    </row>
    <row r="80" spans="2:8" ht="15.75" customHeight="1" x14ac:dyDescent="0.35">
      <c r="B80" s="43"/>
      <c r="C80" s="44"/>
    </row>
    <row r="81" spans="2:4" ht="15.75" customHeight="1" x14ac:dyDescent="0.35">
      <c r="B81" s="45" t="str">
        <f>"VAN 3 años (@TNA " &amp;$C$45*100&amp;"%)"</f>
        <v>VAN 3 años (@TNA 12%)</v>
      </c>
      <c r="C81" s="46">
        <f t="array" ref="C81">NPV(C79,D76:F76)+C76</f>
        <v>63845.266399416883</v>
      </c>
      <c r="D81" s="42" t="s">
        <v>31</v>
      </c>
    </row>
    <row r="82" spans="2:4" ht="15.75" customHeight="1" x14ac:dyDescent="0.35">
      <c r="B82" s="47"/>
      <c r="C82" s="48"/>
    </row>
    <row r="83" spans="2:4" ht="15.75" customHeight="1" x14ac:dyDescent="0.35"/>
    <row r="84" spans="2:4" ht="15.75" customHeight="1" x14ac:dyDescent="0.35"/>
    <row r="85" spans="2:4" ht="15.75" customHeight="1" x14ac:dyDescent="0.35"/>
    <row r="86" spans="2:4" ht="15.75" customHeight="1" x14ac:dyDescent="0.35"/>
    <row r="87" spans="2:4" ht="15.75" customHeight="1" x14ac:dyDescent="0.35"/>
    <row r="88" spans="2:4" ht="15.75" customHeight="1" x14ac:dyDescent="0.35"/>
    <row r="89" spans="2:4" ht="15.75" customHeight="1" x14ac:dyDescent="0.35"/>
    <row r="90" spans="2:4" ht="15.75" customHeight="1" x14ac:dyDescent="0.35"/>
    <row r="91" spans="2:4" ht="15.75" customHeight="1" x14ac:dyDescent="0.35"/>
    <row r="92" spans="2:4" ht="15.75" customHeight="1" x14ac:dyDescent="0.35"/>
    <row r="93" spans="2:4" ht="15.75" customHeight="1" x14ac:dyDescent="0.35"/>
    <row r="94" spans="2:4" ht="15.75" customHeight="1" x14ac:dyDescent="0.35"/>
    <row r="95" spans="2:4" ht="15.75" customHeight="1" x14ac:dyDescent="0.35"/>
    <row r="96" spans="2:4"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B14:H14"/>
    <mergeCell ref="B15:H15"/>
    <mergeCell ref="B5:H5"/>
    <mergeCell ref="B6:H6"/>
    <mergeCell ref="B7:H7"/>
    <mergeCell ref="B8:H8"/>
    <mergeCell ref="B9:H9"/>
  </mergeCells>
  <conditionalFormatting sqref="C47">
    <cfRule type="cellIs" dxfId="3" priority="1" operator="lessThan">
      <formula>0</formula>
    </cfRule>
    <cfRule type="cellIs" dxfId="2" priority="2" operator="greaterThan">
      <formula>0</formula>
    </cfRule>
  </conditionalFormatting>
  <conditionalFormatting sqref="C81">
    <cfRule type="cellIs" dxfId="1" priority="3" operator="lessThan">
      <formula>0</formula>
    </cfRule>
    <cfRule type="cellIs" dxfId="0" priority="4" operator="greaterThan">
      <formula>0</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Calculo VAN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Carmen Rodriguez</cp:lastModifiedBy>
  <dcterms:modified xsi:type="dcterms:W3CDTF">2026-05-22T02:47:09Z</dcterms:modified>
</cp:coreProperties>
</file>