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Proyectos\integrador_carrera\extras\"/>
    </mc:Choice>
  </mc:AlternateContent>
  <xr:revisionPtr revIDLastSave="0" documentId="8_{899A5313-4C8F-4431-A7BE-F198CA2A314B}" xr6:coauthVersionLast="47" xr6:coauthVersionMax="47" xr10:uidLastSave="{00000000-0000-0000-0000-000000000000}"/>
  <bookViews>
    <workbookView xWindow="-110" yWindow="-110" windowWidth="25820" windowHeight="15500" xr2:uid="{00000000-000D-0000-FFFF-FFFF00000000}"/>
  </bookViews>
  <sheets>
    <sheet name="Supuestos" sheetId="1" r:id="rId1"/>
    <sheet name="Costos Fijos Recurrentes" sheetId="2" r:id="rId2"/>
    <sheet name="Resumen VAN" sheetId="3" r:id="rId3"/>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 i="3" l="1"/>
  <c r="D26" i="3"/>
  <c r="C26" i="3"/>
  <c r="B26" i="3"/>
  <c r="E12" i="3"/>
  <c r="E13" i="3" s="1"/>
  <c r="E15" i="3" s="1"/>
  <c r="E16" i="3" s="1"/>
  <c r="D12" i="3"/>
  <c r="D13" i="3" s="1"/>
  <c r="D15" i="3" s="1"/>
  <c r="D16" i="3" s="1"/>
  <c r="C12" i="3"/>
  <c r="C13" i="3" s="1"/>
  <c r="C15" i="3" s="1"/>
  <c r="C16" i="3" s="1"/>
  <c r="B12" i="3"/>
  <c r="B13" i="3" s="1"/>
  <c r="B15" i="3" s="1"/>
  <c r="B16" i="3" s="1"/>
  <c r="E44" i="2"/>
  <c r="D44" i="2"/>
  <c r="C44" i="2"/>
  <c r="B44" i="2"/>
  <c r="E38" i="2"/>
  <c r="D38" i="2"/>
  <c r="C38" i="2"/>
  <c r="B38" i="2"/>
  <c r="E32" i="2"/>
  <c r="D32" i="2"/>
  <c r="C32" i="2"/>
  <c r="B32" i="2"/>
  <c r="E26" i="2"/>
  <c r="E48" i="2" s="1"/>
  <c r="D26" i="2"/>
  <c r="D48" i="2" s="1"/>
  <c r="C26" i="2"/>
  <c r="C48" i="2" s="1"/>
  <c r="B26" i="2"/>
  <c r="B48" i="2" s="1"/>
  <c r="E15" i="2"/>
  <c r="D15" i="2"/>
  <c r="C15" i="2"/>
  <c r="B15" i="2"/>
  <c r="B44" i="1"/>
  <c r="B38" i="1"/>
  <c r="B22" i="1"/>
  <c r="B20" i="1"/>
  <c r="B21" i="1" s="1"/>
  <c r="B18" i="1"/>
  <c r="B19" i="1" s="1"/>
  <c r="B17" i="1"/>
  <c r="B16" i="1"/>
  <c r="D19" i="3" l="1"/>
  <c r="D24" i="3"/>
  <c r="D27" i="3" s="1"/>
  <c r="B19" i="3"/>
  <c r="G16" i="3"/>
  <c r="B24" i="3"/>
  <c r="B27" i="3" s="1"/>
  <c r="E6" i="2"/>
  <c r="D6" i="2"/>
  <c r="C6" i="2"/>
  <c r="B23" i="1"/>
  <c r="B24" i="1" s="1"/>
  <c r="B6" i="2"/>
  <c r="E19" i="3"/>
  <c r="E24" i="3" s="1"/>
  <c r="E27" i="3" s="1"/>
  <c r="C19" i="3"/>
  <c r="B7" i="2"/>
  <c r="C7" i="2"/>
  <c r="D7" i="2"/>
  <c r="E7" i="2"/>
  <c r="C24" i="3" l="1"/>
  <c r="C27" i="3" s="1"/>
  <c r="E8" i="2"/>
  <c r="E9" i="2" s="1"/>
  <c r="B30" i="3"/>
  <c r="B8" i="2"/>
  <c r="B9" i="2" s="1"/>
  <c r="C8" i="2"/>
  <c r="C9" i="2" s="1"/>
  <c r="D8" i="2"/>
  <c r="D9" i="2" s="1"/>
  <c r="G19" i="3"/>
  <c r="C20" i="3" l="1"/>
  <c r="C21" i="3" s="1"/>
  <c r="C25" i="3" s="1"/>
  <c r="C28" i="3" s="1"/>
  <c r="C49" i="2"/>
  <c r="D20" i="3"/>
  <c r="D21" i="3" s="1"/>
  <c r="D25" i="3" s="1"/>
  <c r="D28" i="3" s="1"/>
  <c r="D49" i="2"/>
  <c r="B20" i="3"/>
  <c r="B49" i="2"/>
  <c r="E20" i="3"/>
  <c r="E21" i="3" s="1"/>
  <c r="E25" i="3" s="1"/>
  <c r="E28" i="3" s="1"/>
  <c r="E49" i="2"/>
  <c r="G20" i="3" l="1"/>
  <c r="B21" i="3"/>
  <c r="G21" i="3" l="1"/>
  <c r="B25" i="3"/>
  <c r="B28" i="3" s="1"/>
  <c r="B31" i="3" s="1"/>
</calcChain>
</file>

<file path=xl/sharedStrings.xml><?xml version="1.0" encoding="utf-8"?>
<sst xmlns="http://schemas.openxmlformats.org/spreadsheetml/2006/main" count="247" uniqueCount="215">
  <si>
    <t>RetailIQ 360° — Supuestos del modelo financiero</t>
  </si>
  <si>
    <t>Escenario base — Proyecto actual (2 personas, trabajo remoto)</t>
  </si>
  <si>
    <t>TIPO DE CAMBIO Y PERÍODO</t>
  </si>
  <si>
    <t>Parámetro</t>
  </si>
  <si>
    <t>Valor</t>
  </si>
  <si>
    <t>Unidad</t>
  </si>
  <si>
    <t>Notas / Fuente</t>
  </si>
  <si>
    <t>Tipo de cambio USD/ARS</t>
  </si>
  <si>
    <t>ARS por USD</t>
  </si>
  <si>
    <t>Tipo de cambio referencia mayo 2025</t>
  </si>
  <si>
    <t>Inflación anual Argentina (ARS)</t>
  </si>
  <si>
    <t>% anual</t>
  </si>
  <si>
    <t>Proyección base 2025 — actualizar según INDEC</t>
  </si>
  <si>
    <t>Duración del proyecto actual</t>
  </si>
  <si>
    <t>semanas</t>
  </si>
  <si>
    <t>21 abril al 15 junio 2025</t>
  </si>
  <si>
    <t>Horas semanales equipo total</t>
  </si>
  <si>
    <t>hs/semana</t>
  </si>
  <si>
    <t>6 hs por persona — trabajo part-time</t>
  </si>
  <si>
    <t>Horas totales del proyecto</t>
  </si>
  <si>
    <t>horas</t>
  </si>
  <si>
    <t>PERSONAL</t>
  </si>
  <si>
    <t>Sueldo bruto mensual — Persona 1</t>
  </si>
  <si>
    <t>ARS/mes</t>
  </si>
  <si>
    <t>Sueldo actual empleo principal</t>
  </si>
  <si>
    <t>Sueldo bruto mensual — Persona 2</t>
  </si>
  <si>
    <t>Cargas sociales empleador</t>
  </si>
  <si>
    <t>% s/bruto</t>
  </si>
  <si>
    <t>Aprox. 30% en Argentina (jubilación, obra social, ART)</t>
  </si>
  <si>
    <t>Costo laboral total — Persona 1</t>
  </si>
  <si>
    <t>Costo real para un empleador</t>
  </si>
  <si>
    <t>Costo laboral total — Persona 2</t>
  </si>
  <si>
    <t>Costo laboral total equipo</t>
  </si>
  <si>
    <t>Suma ambas personas</t>
  </si>
  <si>
    <t>Costo laboral total equipo (USD)</t>
  </si>
  <si>
    <t>USD/mes</t>
  </si>
  <si>
    <t>Conversión al tipo de cambio</t>
  </si>
  <si>
    <t>Valor hora promedio equipo (ARS)</t>
  </si>
  <si>
    <t>ARS/hora</t>
  </si>
  <si>
    <t>Base: 160 hs laborales/mes por persona</t>
  </si>
  <si>
    <t>Valor hora promedio equipo (USD)</t>
  </si>
  <si>
    <t>USD/hora</t>
  </si>
  <si>
    <t>Horas dedicadas al proyecto/mes</t>
  </si>
  <si>
    <t>hs/mes</t>
  </si>
  <si>
    <t>12 hs semanales / 4 semanas (aprox)</t>
  </si>
  <si>
    <t>Costo oportunidad mensual equipo</t>
  </si>
  <si>
    <t>Horas × valor hora — lo que dejan de ganar</t>
  </si>
  <si>
    <t>Costo oportunidad total proyecto</t>
  </si>
  <si>
    <t>USD</t>
  </si>
  <si>
    <t>Costo oportunidad por duración del proyecto</t>
  </si>
  <si>
    <t>HERRAMIENTAS Y LICENCIAS</t>
  </si>
  <si>
    <t>ChatGPT Plus</t>
  </si>
  <si>
    <t>1 cuenta — uso compartido del equipo</t>
  </si>
  <si>
    <t>Claude Pro</t>
  </si>
  <si>
    <t>Microsoft Office 365</t>
  </si>
  <si>
    <t>Estimado plan Personal/Family — ajustar según plan</t>
  </si>
  <si>
    <t>Power BI Desktop</t>
  </si>
  <si>
    <t>Gratuito — versión Desktop sin publicación en nube</t>
  </si>
  <si>
    <t>GitHub</t>
  </si>
  <si>
    <t>Plan Free — repositorios públicos y privados limitados</t>
  </si>
  <si>
    <t>SQL Server Developer</t>
  </si>
  <si>
    <t>Gratuito para uso no productivo</t>
  </si>
  <si>
    <t>Python / Jupyter</t>
  </si>
  <si>
    <t>Open source — sin costo de licencia</t>
  </si>
  <si>
    <t>Google Drive</t>
  </si>
  <si>
    <t>Plan gratuito (15 GB) — suficiente para el proyecto</t>
  </si>
  <si>
    <t>Trello</t>
  </si>
  <si>
    <t>Plan Free — suficiente para equipos pequeños</t>
  </si>
  <si>
    <t>Total herramientas/mes</t>
  </si>
  <si>
    <t>Costo real mensual en licencias</t>
  </si>
  <si>
    <t>GASTOS INDIRECTOS (fracción del gasto del hogar)</t>
  </si>
  <si>
    <t>Electricidad adicional (estimado)</t>
  </si>
  <si>
    <t>Computadoras encendidas +3-4 hs extra por día — fracción del gasto total del hogar</t>
  </si>
  <si>
    <t>Conectividad (fracción asignable)</t>
  </si>
  <si>
    <t>Aprox. 15-20% del costo de internet mensual del hogar por persona</t>
  </si>
  <si>
    <t>Consumibles (papel, impresión)</t>
  </si>
  <si>
    <t>Estimado conservador — documentación e impresión ocasional</t>
  </si>
  <si>
    <t>Total gastos indirectos/mes</t>
  </si>
  <si>
    <t>Fracción del gasto doméstico atribuible al proyecto</t>
  </si>
  <si>
    <t>RetailIQ 360° — Costos fijos recurrentes del proyecto</t>
  </si>
  <si>
    <t>Escenario base — horizonte 5 años (expresado en USD constantes)</t>
  </si>
  <si>
    <t>Ítem de costo</t>
  </si>
  <si>
    <t>Año 1
(USD)</t>
  </si>
  <si>
    <t>Año 2
(USD)</t>
  </si>
  <si>
    <t>Año 3
(USD)</t>
  </si>
  <si>
    <t>Año 4
(USD)</t>
  </si>
  <si>
    <t>Año 5
(USD)</t>
  </si>
  <si>
    <t>Notas</t>
  </si>
  <si>
    <t>1. COSTO OPORTUNIDAD DEL TIEMPO (el costo más importante)</t>
  </si>
  <si>
    <t>Valor hora equipo completo (USD)</t>
  </si>
  <si>
    <t>Valor hora × 2 personas — referencia para valorizar el tiempo</t>
  </si>
  <si>
    <t>Horas dedicadas al proyecto por mes</t>
  </si>
  <si>
    <t>12 hs semanales ÷ 2 personas — ajustable en Supuestos</t>
  </si>
  <si>
    <t>Costo oportunidad mensual equipo (USD)</t>
  </si>
  <si>
    <t>Tiempo invertido valorizado a salario de mercado</t>
  </si>
  <si>
    <t>Costo oportunidad anual equipo (USD)</t>
  </si>
  <si>
    <t>Proyección anual del costo oportunidad</t>
  </si>
  <si>
    <t>2. PERSONAL — hipótesis de crecimiento hacia producto comercializable</t>
  </si>
  <si>
    <t>Año 1-2: equipo fundador (sin sueldo formal)</t>
  </si>
  <si>
    <t>Las fundadoras trabajan a costo oportunidad — sin nómina formal en etapa MVP</t>
  </si>
  <si>
    <t>Año 3: primer contrato part-time (Data Engineer)</t>
  </si>
  <si>
    <t>USD 1.500/mes × 12 — soporte técnico para escalar la plataforma</t>
  </si>
  <si>
    <t>Año 4-5: comercial/ventas part-time</t>
  </si>
  <si>
    <t>USD 1.000/mes × 12 — adquisición de clientes</t>
  </si>
  <si>
    <t>Subtotal personal (USD/año)</t>
  </si>
  <si>
    <t>Solo aplica si se formaliza la contratación</t>
  </si>
  <si>
    <t>3. HERRAMIENTAS Y LICENCIAS</t>
  </si>
  <si>
    <t>ChatGPT Plus (1 cuenta compartida)</t>
  </si>
  <si>
    <t>USD 20/mes × 12</t>
  </si>
  <si>
    <t>Claude Pro (1 cuenta compartida)</t>
  </si>
  <si>
    <t>USD 10/mes × 12 — estimado plan Personal</t>
  </si>
  <si>
    <t>Gratuito en etapa actual</t>
  </si>
  <si>
    <t>Power BI Embedded (si se comercializa)</t>
  </si>
  <si>
    <t>USD 735/mes × 12 — SKU A1 mínimo si se publica para clientes en Año 3+</t>
  </si>
  <si>
    <t>GitHub Free</t>
  </si>
  <si>
    <t>Gratuito — actualizar si se requiere GitHub Teams</t>
  </si>
  <si>
    <t>Google Drive / Workspace</t>
  </si>
  <si>
    <t>USD 0 en etapa actual — USD 12/mes × 12 si se necesita Workspace Business</t>
  </si>
  <si>
    <t>Subtotal herramientas (USD/año)</t>
  </si>
  <si>
    <t>Costo real anual en licencias</t>
  </si>
  <si>
    <t>4. INFRAESTRUCTURA TECNOLÓGICA</t>
  </si>
  <si>
    <t>Hosting cloud (AWS/Azure) — etapa actual</t>
  </si>
  <si>
    <t>No aplica en etapa académica — datos en local</t>
  </si>
  <si>
    <t>Hosting cloud — cuando se comercialice</t>
  </si>
  <si>
    <t>USD 100-400/mes × 12 según volumen de clientes</t>
  </si>
  <si>
    <t>Dominio y certificados SSL</t>
  </si>
  <si>
    <t>USD 20/año — necesario cuando se lance el producto</t>
  </si>
  <si>
    <t>Subtotal infraestructura (USD/año)</t>
  </si>
  <si>
    <t>Crece con la base de clientes</t>
  </si>
  <si>
    <t>5. GASTOS INDIRECTOS DEL HOGAR (fracción atribuible al proyecto)</t>
  </si>
  <si>
    <t>Electricidad adicional (2 personas)</t>
  </si>
  <si>
    <t>USD 5/mes × 2 personas × 12</t>
  </si>
  <si>
    <t>USD 8/mes × 2 personas × 12</t>
  </si>
  <si>
    <t>USD 2/mes × 2 personas × 12</t>
  </si>
  <si>
    <t>Subtotal gastos indirectos (USD/año)</t>
  </si>
  <si>
    <t>6. LEGAL Y ADMINISTRATIVO (si se formaliza como empresa)</t>
  </si>
  <si>
    <t>Constitución de empresa (SRL/SA)</t>
  </si>
  <si>
    <t>Costo único en Año 3 si se decide formalizar</t>
  </si>
  <si>
    <t>Asesoría contable / impositiva</t>
  </si>
  <si>
    <t>USD 100-150/mes × 12 — necesario al tener clientes pagos</t>
  </si>
  <si>
    <t>Registro de marca</t>
  </si>
  <si>
    <t>Costo único — propiedad intelectual de la plataforma</t>
  </si>
  <si>
    <t>Subtotal legal/admin (USD/año)</t>
  </si>
  <si>
    <t>Solo aplica a partir del lanzamiento comercial</t>
  </si>
  <si>
    <t>TOTAL COSTOS FIJOS RECURRENTES (sin costo oportunidad)</t>
  </si>
  <si>
    <t>TOTAL COSTOS DESEMBOLSABLES (USD/año)</t>
  </si>
  <si>
    <t>Dinero real que sale del bolsillo del equipo</t>
  </si>
  <si>
    <t>TOTAL INCLUYENDO COSTO OPORTUNIDAD (USD/año)</t>
  </si>
  <si>
    <t>Costo económico real del proyecto incluyendo tiempo invertido</t>
  </si>
  <si>
    <t>NOTA METODOLÓGICA</t>
  </si>
  <si>
    <t>Costos desembolsables:</t>
  </si>
  <si>
    <t>Son los únicos costos que implican salida real de dinero. En la etapa actual (Año 1) son solo USD 600/año en herramientas IA + Office.</t>
  </si>
  <si>
    <t>Costo oportunidad:</t>
  </si>
  <si>
    <t>No es dinero que sale del bolsillo, pero representa el valor del tiempo que no se usa en otras actividades remuneradas. Es esencial incluirlo en el VAN para evaluar si el proyecto es financieramente conveniente vs. destinar ese tiempo a otra actividad.</t>
  </si>
  <si>
    <t>Power BI Embedded:</t>
  </si>
  <si>
    <t>Es el salto de costo más grande al pasar de proyecto a producto comercializable. Evaluar alternativa: entregar .pbix al cliente vs. hosting en la nube.</t>
  </si>
  <si>
    <t>Años 1-2 vs 3-5:</t>
  </si>
  <si>
    <t>El modelo asume que en Años 1-2 el proyecto es académico/MVP. A partir del Año 3 se proyecta el escenario de comercialización con costos adicionales de infraestructura, personal y administración.</t>
  </si>
  <si>
    <t>RetailIQ 360° — Estructura VAN a 5 años</t>
  </si>
  <si>
    <t>Escenario base — los ingresos proyectados deberán completarse según el modelo de negocio elegido</t>
  </si>
  <si>
    <t>PARÁMETROS DEL VAN</t>
  </si>
  <si>
    <t>Tasa de descuento anual</t>
  </si>
  <si>
    <t>%</t>
  </si>
  <si>
    <t>30% — refleja riesgo de startup tecnológica en Argentina operando en USD</t>
  </si>
  <si>
    <t>Inversión inicial (Año 0)</t>
  </si>
  <si>
    <t>En etapa actual: USD 0 — el proyecto usa herramientas gratuitas y computadoras propias</t>
  </si>
  <si>
    <t>Concepto</t>
  </si>
  <si>
    <t>Año 1</t>
  </si>
  <si>
    <t>Año 2</t>
  </si>
  <si>
    <t>Año 3</t>
  </si>
  <si>
    <t>Año 4</t>
  </si>
  <si>
    <t>Año 5</t>
  </si>
  <si>
    <t>Total 5 años</t>
  </si>
  <si>
    <t>INGRESOS PROYECTADOS (completar según modelo de negocio)</t>
  </si>
  <si>
    <t>Clientes activos (cantidad)</t>
  </si>
  <si>
    <t>Supuesto escenario base — ajustar según validación comercial</t>
  </si>
  <si>
    <t>Precio promedio mensual por cliente (USD)</t>
  </si>
  <si>
    <t>Crece con mejoras del producto y posicionamiento de marca</t>
  </si>
  <si>
    <t>MRR — ingresos mensuales recurrentes (USD)</t>
  </si>
  <si>
    <t>Clientes × precio mensual promedio</t>
  </si>
  <si>
    <t>ARR — ingresos anuales recurrentes (USD)</t>
  </si>
  <si>
    <t>MRR × 12 meses</t>
  </si>
  <si>
    <t>Churn (clientes perdidos en el año)</t>
  </si>
  <si>
    <t>Estimado 5% anual sobre base de clientes — ajustar según retención real</t>
  </si>
  <si>
    <t>Ingresos netos ajustados por churn</t>
  </si>
  <si>
    <t>ARR menos impacto del churn</t>
  </si>
  <si>
    <t>TOTAL INGRESOS NETOS (USD/año)</t>
  </si>
  <si>
    <t>COSTOS (traídos de hoja Costos Fijos Recurrentes)</t>
  </si>
  <si>
    <t>Costos desembolsables (USD/año)</t>
  </si>
  <si>
    <t>Costo oportunidad equipo (USD/año)</t>
  </si>
  <si>
    <t>TOTAL COSTOS (USD/año)</t>
  </si>
  <si>
    <t>FLUJO DE CAJA Y VALOR ACTUAL NETO</t>
  </si>
  <si>
    <t>Flujo de caja bruto (USD/año)</t>
  </si>
  <si>
    <t>Ingresos netos − costos desembolsables</t>
  </si>
  <si>
    <t>Flujo de caja económico (USD/año)</t>
  </si>
  <si>
    <t>Ingresos netos − total costos (incluye costo oportunidad)</t>
  </si>
  <si>
    <t>Factor de descuento (tasa 30%)</t>
  </si>
  <si>
    <t>Factor que trae el flujo futuro a valor presente</t>
  </si>
  <si>
    <t>Flujo de caja descontado — bruto</t>
  </si>
  <si>
    <t>Flujo bruto traído a valor presente</t>
  </si>
  <si>
    <t>Flujo de caja descontado — económico</t>
  </si>
  <si>
    <t>Flujo económico traído a valor presente</t>
  </si>
  <si>
    <t>VAN BRUTO (sin costo oportunidad)</t>
  </si>
  <si>
    <t>VAN considerando solo costos desembolsables reales — el más favorable</t>
  </si>
  <si>
    <t>VAN ECONÓMICO (con costo oportunidad)</t>
  </si>
  <si>
    <t>VAN considerando el valor del tiempo invertido — el más conservador</t>
  </si>
  <si>
    <t>INTERPRETACIÓN DEL VAN</t>
  </si>
  <si>
    <t>VAN &gt; 0</t>
  </si>
  <si>
    <t>El proyecto genera valor por encima de la tasa de descuento exigida. El proyecto es financieramente conveniente.</t>
  </si>
  <si>
    <t>VAN = 0</t>
  </si>
  <si>
    <t>El proyecto recupera exactamente la inversión a la tasa exigida. Punto de indiferencia.</t>
  </si>
  <si>
    <t>VAN &lt; 0</t>
  </si>
  <si>
    <t>El proyecto destruye valor a la tasa exigida. Replantear modelo de ingresos, reducir costos o ajustar la tasa de descuento.</t>
  </si>
  <si>
    <t>VAN Bruto &gt; 0 pero VAN Económico &lt; 0</t>
  </si>
  <si>
    <t>El proyecto es rentable en términos de caja pero no compensa el tiempo invertido. Evaluar si existe un uso alternativo más rentable de ese tiempo.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</si>
</sst>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
  </numFmts>
  <fonts count="20" x14ac:knownFonts="1">
    <font>
      <sz val="11"/>
      <color theme="1"/>
      <name val="Calibri"/>
      <family val="2"/>
      <scheme val="minor"/>
    </font>
    <font>
      <b/>
      <sz val="14"/>
      <color rgb="FFFFFFFF"/>
      <name val="Arial"/>
    </font>
    <font>
      <i/>
      <sz val="10"/>
      <color rgb="FF2E75B6"/>
      <name val="Arial"/>
    </font>
    <font>
      <b/>
      <sz val="10"/>
      <color rgb="FFFFFFFF"/>
      <name val="Arial"/>
    </font>
    <font>
      <sz val="10"/>
      <color rgb="FF000000"/>
      <name val="Arial"/>
    </font>
    <font>
      <b/>
      <sz val="10"/>
      <color rgb="FF0000FF"/>
      <name val="Arial"/>
    </font>
    <font>
      <i/>
      <sz val="10"/>
      <color rgb="FF555555"/>
      <name val="Arial"/>
    </font>
    <font>
      <b/>
      <sz val="10"/>
      <color rgb="FF000000"/>
      <name val="Arial"/>
    </font>
    <font>
      <b/>
      <sz val="10"/>
      <color rgb="FF888888"/>
      <name val="Arial"/>
    </font>
    <font>
      <b/>
      <sz val="10"/>
      <color rgb="FF1F3864"/>
      <name val="Arial"/>
    </font>
    <font>
      <sz val="10"/>
      <color rgb="FF0000FF"/>
      <name val="Arial"/>
    </font>
    <font>
      <b/>
      <sz val="10"/>
      <color rgb="FF7F6000"/>
      <name val="Arial"/>
    </font>
    <font>
      <b/>
      <sz val="9"/>
      <color rgb="FF7F6000"/>
      <name val="Arial"/>
    </font>
    <font>
      <i/>
      <sz val="9"/>
      <color rgb="FF444444"/>
      <name val="Arial"/>
    </font>
    <font>
      <b/>
      <sz val="10"/>
      <color rgb="FF1D6837"/>
      <name val="Arial"/>
    </font>
    <font>
      <b/>
      <sz val="12"/>
      <color rgb="FF1D6837"/>
      <name val="Arial"/>
    </font>
    <font>
      <b/>
      <i/>
      <sz val="10"/>
      <color rgb="FF1D6837"/>
      <name val="Arial"/>
    </font>
    <font>
      <b/>
      <sz val="12"/>
      <color rgb="FF7F6000"/>
      <name val="Arial"/>
    </font>
    <font>
      <b/>
      <i/>
      <sz val="10"/>
      <color rgb="FF7F6000"/>
      <name val="Arial"/>
    </font>
    <font>
      <b/>
      <sz val="9"/>
      <color rgb="FF1F3864"/>
      <name val="Arial"/>
    </font>
  </fonts>
  <fills count="10">
    <fill>
      <patternFill patternType="none"/>
    </fill>
    <fill>
      <patternFill patternType="gray125"/>
    </fill>
    <fill>
      <patternFill patternType="solid">
        <fgColor rgb="FF1F3864"/>
      </patternFill>
    </fill>
    <fill>
      <patternFill patternType="solid">
        <fgColor rgb="FFEBF3FA"/>
      </patternFill>
    </fill>
    <fill>
      <patternFill patternType="solid">
        <fgColor rgb="FF2E75B6"/>
      </patternFill>
    </fill>
    <fill>
      <patternFill patternType="solid">
        <fgColor rgb="FFF2F2F2"/>
      </patternFill>
    </fill>
    <fill>
      <patternFill patternType="solid">
        <fgColor rgb="FFFFFFFF"/>
      </patternFill>
    </fill>
    <fill>
      <patternFill patternType="solid">
        <fgColor rgb="FFD6E4F0"/>
      </patternFill>
    </fill>
    <fill>
      <patternFill patternType="solid">
        <fgColor rgb="FFFFF2CC"/>
      </patternFill>
    </fill>
    <fill>
      <patternFill patternType="solid">
        <fgColor rgb="FFE2EFDA"/>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0">
    <xf numFmtId="0" fontId="0" fillId="0" borderId="0" xfId="0"/>
    <xf numFmtId="0" fontId="3" fillId="2" borderId="1" xfId="0" applyFont="1" applyFill="1" applyBorder="1" applyAlignment="1">
      <alignment horizontal="center" vertical="center"/>
    </xf>
    <xf numFmtId="0" fontId="4" fillId="5" borderId="1" xfId="0" applyFont="1" applyFill="1" applyBorder="1" applyAlignment="1">
      <alignment horizontal="left" vertical="center"/>
    </xf>
    <xf numFmtId="0" fontId="5" fillId="6" borderId="1" xfId="0" applyFont="1" applyFill="1" applyBorder="1" applyAlignment="1">
      <alignment horizontal="center" vertical="center"/>
    </xf>
    <xf numFmtId="0" fontId="6" fillId="6" borderId="1" xfId="0" applyFont="1" applyFill="1" applyBorder="1" applyAlignment="1">
      <alignment horizontal="center" vertical="center"/>
    </xf>
    <xf numFmtId="0" fontId="6" fillId="6" borderId="1" xfId="0" applyFont="1" applyFill="1" applyBorder="1" applyAlignment="1">
      <alignment horizontal="left" vertical="center" wrapText="1"/>
    </xf>
    <xf numFmtId="164" fontId="5" fillId="6" borderId="1" xfId="0" applyNumberFormat="1" applyFont="1" applyFill="1" applyBorder="1" applyAlignment="1">
      <alignment horizontal="center" vertical="center"/>
    </xf>
    <xf numFmtId="165" fontId="5" fillId="6" borderId="1" xfId="0" applyNumberFormat="1" applyFont="1" applyFill="1" applyBorder="1" applyAlignment="1">
      <alignment horizontal="center" vertical="center"/>
    </xf>
    <xf numFmtId="165" fontId="7" fillId="6" borderId="1" xfId="0" applyNumberFormat="1" applyFont="1" applyFill="1" applyBorder="1" applyAlignment="1">
      <alignment horizontal="center" vertical="center"/>
    </xf>
    <xf numFmtId="165" fontId="8" fillId="6" borderId="1" xfId="0" applyNumberFormat="1" applyFont="1" applyFill="1" applyBorder="1" applyAlignment="1">
      <alignment horizontal="center" vertical="center"/>
    </xf>
    <xf numFmtId="0" fontId="7" fillId="7" borderId="1" xfId="0" applyFont="1" applyFill="1" applyBorder="1" applyAlignment="1">
      <alignment horizontal="left" vertical="center"/>
    </xf>
    <xf numFmtId="165" fontId="7" fillId="7" borderId="1"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4" fillId="6" borderId="1" xfId="0" applyFont="1" applyFill="1" applyBorder="1" applyAlignment="1">
      <alignment horizontal="left" vertical="center"/>
    </xf>
    <xf numFmtId="165" fontId="4" fillId="6" borderId="1" xfId="0" applyNumberFormat="1" applyFont="1" applyFill="1" applyBorder="1" applyAlignment="1">
      <alignment horizontal="center" vertical="center"/>
    </xf>
    <xf numFmtId="0" fontId="9" fillId="7" borderId="1" xfId="0" applyFont="1" applyFill="1" applyBorder="1" applyAlignment="1">
      <alignment horizontal="left" vertical="center"/>
    </xf>
    <xf numFmtId="165" fontId="9" fillId="7" borderId="1" xfId="0" applyNumberFormat="1" applyFont="1" applyFill="1" applyBorder="1" applyAlignment="1">
      <alignment horizontal="center" vertical="center"/>
    </xf>
    <xf numFmtId="0" fontId="6" fillId="7" borderId="1" xfId="0" applyFont="1" applyFill="1" applyBorder="1" applyAlignment="1">
      <alignment horizontal="left" vertical="center" wrapText="1"/>
    </xf>
    <xf numFmtId="165" fontId="10" fillId="6" borderId="1" xfId="0" applyNumberFormat="1" applyFont="1" applyFill="1" applyBorder="1" applyAlignment="1">
      <alignment horizontal="center" vertical="center"/>
    </xf>
    <xf numFmtId="0" fontId="12" fillId="8" borderId="1" xfId="0" applyFont="1" applyFill="1" applyBorder="1" applyAlignment="1">
      <alignment horizontal="left" vertical="center"/>
    </xf>
    <xf numFmtId="0" fontId="10" fillId="6" borderId="1" xfId="0" applyFont="1" applyFill="1" applyBorder="1" applyAlignment="1">
      <alignment horizontal="center" vertical="center"/>
    </xf>
    <xf numFmtId="0" fontId="7" fillId="5" borderId="1" xfId="0" applyFont="1" applyFill="1" applyBorder="1" applyAlignment="1">
      <alignment horizontal="left" vertical="center"/>
    </xf>
    <xf numFmtId="0" fontId="14" fillId="9" borderId="1" xfId="0" applyFont="1" applyFill="1" applyBorder="1" applyAlignment="1">
      <alignment horizontal="left" vertical="center"/>
    </xf>
    <xf numFmtId="165" fontId="7" fillId="9" borderId="1" xfId="0" applyNumberFormat="1" applyFont="1" applyFill="1" applyBorder="1" applyAlignment="1">
      <alignment horizontal="center" vertical="center"/>
    </xf>
    <xf numFmtId="165" fontId="14" fillId="9" borderId="1" xfId="0" applyNumberFormat="1" applyFont="1" applyFill="1" applyBorder="1" applyAlignment="1">
      <alignment horizontal="center" vertical="center"/>
    </xf>
    <xf numFmtId="166" fontId="4" fillId="6" borderId="1" xfId="0" applyNumberFormat="1" applyFont="1" applyFill="1" applyBorder="1" applyAlignment="1">
      <alignment horizontal="center" vertical="center"/>
    </xf>
    <xf numFmtId="0" fontId="16" fillId="9" borderId="1" xfId="0" applyFont="1" applyFill="1" applyBorder="1" applyAlignment="1">
      <alignment horizontal="left" vertical="center" wrapText="1"/>
    </xf>
    <xf numFmtId="0" fontId="11" fillId="8" borderId="1" xfId="0" applyFont="1" applyFill="1" applyBorder="1" applyAlignment="1">
      <alignment horizontal="left" vertical="center"/>
    </xf>
    <xf numFmtId="0" fontId="18" fillId="8" borderId="1" xfId="0" applyFont="1" applyFill="1" applyBorder="1" applyAlignment="1">
      <alignment horizontal="left" vertical="center" wrapText="1"/>
    </xf>
    <xf numFmtId="0" fontId="19" fillId="3" borderId="1" xfId="0" applyFont="1" applyFill="1" applyBorder="1" applyAlignment="1">
      <alignment horizontal="left" vertical="center"/>
    </xf>
    <xf numFmtId="0" fontId="1" fillId="2" borderId="0" xfId="0" applyFont="1" applyFill="1" applyAlignment="1">
      <alignment horizontal="center" vertical="center"/>
    </xf>
    <xf numFmtId="0" fontId="0" fillId="0" borderId="0" xfId="0"/>
    <xf numFmtId="0" fontId="3" fillId="4" borderId="0" xfId="0" applyFont="1" applyFill="1" applyAlignment="1">
      <alignment horizontal="left" vertical="center"/>
    </xf>
    <xf numFmtId="0" fontId="2" fillId="3" borderId="0" xfId="0" applyFont="1" applyFill="1" applyAlignment="1">
      <alignment horizontal="center" vertical="center"/>
    </xf>
    <xf numFmtId="0" fontId="13" fillId="8" borderId="1" xfId="0" applyFont="1" applyFill="1" applyBorder="1" applyAlignment="1">
      <alignment horizontal="left" vertical="center" wrapText="1"/>
    </xf>
    <xf numFmtId="0" fontId="11" fillId="8" borderId="0" xfId="0" applyFont="1" applyFill="1" applyAlignment="1">
      <alignment horizontal="left" vertical="center"/>
    </xf>
    <xf numFmtId="165" fontId="17" fillId="8" borderId="1" xfId="0" applyNumberFormat="1" applyFont="1" applyFill="1" applyBorder="1" applyAlignment="1">
      <alignment horizontal="center" vertical="center"/>
    </xf>
    <xf numFmtId="0" fontId="6" fillId="6" borderId="1" xfId="0" applyFont="1" applyFill="1" applyBorder="1" applyAlignment="1">
      <alignment horizontal="left" vertical="center" wrapText="1"/>
    </xf>
    <xf numFmtId="0" fontId="13" fillId="3" borderId="1" xfId="0" applyFont="1" applyFill="1" applyBorder="1" applyAlignment="1">
      <alignment horizontal="left" vertical="center" wrapText="1"/>
    </xf>
    <xf numFmtId="165" fontId="15" fillId="9" borderId="1" xfId="0" applyNumberFormat="1"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5"/>
  <sheetViews>
    <sheetView tabSelected="1" topLeftCell="A22" workbookViewId="0">
      <selection activeCell="H49" sqref="H49"/>
    </sheetView>
  </sheetViews>
  <sheetFormatPr baseColWidth="10" defaultColWidth="8.7265625" defaultRowHeight="14.5" x14ac:dyDescent="0.35"/>
  <cols>
    <col min="1" max="1" width="36" customWidth="1"/>
    <col min="2" max="3" width="18" customWidth="1"/>
    <col min="4" max="4" width="40" customWidth="1"/>
  </cols>
  <sheetData>
    <row r="1" spans="1:4" ht="24" customHeight="1" x14ac:dyDescent="0.35">
      <c r="A1" s="30" t="s">
        <v>0</v>
      </c>
      <c r="B1" s="31"/>
      <c r="C1" s="31"/>
      <c r="D1" s="31"/>
    </row>
    <row r="2" spans="1:4" ht="18" customHeight="1" x14ac:dyDescent="0.35">
      <c r="A2" s="33" t="s">
        <v>1</v>
      </c>
      <c r="B2" s="31"/>
      <c r="C2" s="31"/>
      <c r="D2" s="31"/>
    </row>
    <row r="4" spans="1:4" ht="20" customHeight="1" x14ac:dyDescent="0.35">
      <c r="A4" s="32" t="s">
        <v>2</v>
      </c>
      <c r="B4" s="31"/>
      <c r="C4" s="31"/>
      <c r="D4" s="31"/>
    </row>
    <row r="5" spans="1:4" ht="20" customHeight="1" x14ac:dyDescent="0.35">
      <c r="A5" s="1" t="s">
        <v>3</v>
      </c>
      <c r="B5" s="1" t="s">
        <v>4</v>
      </c>
      <c r="C5" s="1" t="s">
        <v>5</v>
      </c>
      <c r="D5" s="1" t="s">
        <v>6</v>
      </c>
    </row>
    <row r="6" spans="1:4" ht="20" customHeight="1" x14ac:dyDescent="0.35">
      <c r="A6" s="2" t="s">
        <v>7</v>
      </c>
      <c r="B6" s="3">
        <v>1400</v>
      </c>
      <c r="C6" s="4" t="s">
        <v>8</v>
      </c>
      <c r="D6" s="5" t="s">
        <v>9</v>
      </c>
    </row>
    <row r="7" spans="1:4" ht="20" customHeight="1" x14ac:dyDescent="0.35">
      <c r="A7" s="2" t="s">
        <v>10</v>
      </c>
      <c r="B7" s="6">
        <v>0.6</v>
      </c>
      <c r="C7" s="4" t="s">
        <v>11</v>
      </c>
      <c r="D7" s="5" t="s">
        <v>12</v>
      </c>
    </row>
    <row r="8" spans="1:4" ht="20" customHeight="1" x14ac:dyDescent="0.35">
      <c r="A8" s="2" t="s">
        <v>13</v>
      </c>
      <c r="B8" s="3">
        <v>8</v>
      </c>
      <c r="C8" s="4" t="s">
        <v>14</v>
      </c>
      <c r="D8" s="5" t="s">
        <v>15</v>
      </c>
    </row>
    <row r="9" spans="1:4" ht="20" customHeight="1" x14ac:dyDescent="0.35">
      <c r="A9" s="2" t="s">
        <v>16</v>
      </c>
      <c r="B9" s="3">
        <v>12</v>
      </c>
      <c r="C9" s="4" t="s">
        <v>17</v>
      </c>
      <c r="D9" s="5" t="s">
        <v>18</v>
      </c>
    </row>
    <row r="10" spans="1:4" ht="20" customHeight="1" x14ac:dyDescent="0.35">
      <c r="A10" s="2" t="s">
        <v>19</v>
      </c>
      <c r="B10" s="3">
        <v>96</v>
      </c>
      <c r="C10" s="4" t="s">
        <v>20</v>
      </c>
      <c r="D10" s="5"/>
    </row>
    <row r="11" spans="1:4" ht="20" customHeight="1" x14ac:dyDescent="0.35"/>
    <row r="12" spans="1:4" ht="20" customHeight="1" x14ac:dyDescent="0.35">
      <c r="A12" s="32" t="s">
        <v>21</v>
      </c>
      <c r="B12" s="31"/>
      <c r="C12" s="31"/>
      <c r="D12" s="31"/>
    </row>
    <row r="13" spans="1:4" ht="20" customHeight="1" x14ac:dyDescent="0.35">
      <c r="A13" s="2" t="s">
        <v>22</v>
      </c>
      <c r="B13" s="7">
        <v>2000000</v>
      </c>
      <c r="C13" s="4" t="s">
        <v>23</v>
      </c>
      <c r="D13" s="5" t="s">
        <v>24</v>
      </c>
    </row>
    <row r="14" spans="1:4" ht="20" customHeight="1" x14ac:dyDescent="0.35">
      <c r="A14" s="2" t="s">
        <v>25</v>
      </c>
      <c r="B14" s="7">
        <v>2000000</v>
      </c>
      <c r="C14" s="4" t="s">
        <v>23</v>
      </c>
      <c r="D14" s="5" t="s">
        <v>24</v>
      </c>
    </row>
    <row r="15" spans="1:4" ht="20" customHeight="1" x14ac:dyDescent="0.35">
      <c r="A15" s="2" t="s">
        <v>26</v>
      </c>
      <c r="B15" s="6">
        <v>0.3</v>
      </c>
      <c r="C15" s="4" t="s">
        <v>27</v>
      </c>
      <c r="D15" s="5" t="s">
        <v>28</v>
      </c>
    </row>
    <row r="16" spans="1:4" ht="20" customHeight="1" x14ac:dyDescent="0.35">
      <c r="A16" s="2" t="s">
        <v>29</v>
      </c>
      <c r="B16" s="8">
        <f>B13*(1+B15)</f>
        <v>2600000</v>
      </c>
      <c r="C16" s="4" t="s">
        <v>23</v>
      </c>
      <c r="D16" s="5" t="s">
        <v>30</v>
      </c>
    </row>
    <row r="17" spans="1:4" ht="20" customHeight="1" x14ac:dyDescent="0.35">
      <c r="A17" s="2" t="s">
        <v>31</v>
      </c>
      <c r="B17" s="8">
        <f>B14*(1+B15)</f>
        <v>2600000</v>
      </c>
      <c r="C17" s="4" t="s">
        <v>23</v>
      </c>
      <c r="D17" s="5" t="s">
        <v>30</v>
      </c>
    </row>
    <row r="18" spans="1:4" ht="20" customHeight="1" x14ac:dyDescent="0.35">
      <c r="A18" s="2" t="s">
        <v>32</v>
      </c>
      <c r="B18" s="8">
        <f>B16+B17</f>
        <v>5200000</v>
      </c>
      <c r="C18" s="4" t="s">
        <v>23</v>
      </c>
      <c r="D18" s="5" t="s">
        <v>33</v>
      </c>
    </row>
    <row r="19" spans="1:4" ht="20" customHeight="1" x14ac:dyDescent="0.35">
      <c r="A19" s="2" t="s">
        <v>34</v>
      </c>
      <c r="B19" s="8">
        <f>B18/B6</f>
        <v>3714.2857142857142</v>
      </c>
      <c r="C19" s="4" t="s">
        <v>35</v>
      </c>
      <c r="D19" s="5" t="s">
        <v>36</v>
      </c>
    </row>
    <row r="20" spans="1:4" ht="20" customHeight="1" x14ac:dyDescent="0.35">
      <c r="A20" s="2" t="s">
        <v>37</v>
      </c>
      <c r="B20" s="8">
        <f>B13/160</f>
        <v>12500</v>
      </c>
      <c r="C20" s="4" t="s">
        <v>38</v>
      </c>
      <c r="D20" s="5" t="s">
        <v>39</v>
      </c>
    </row>
    <row r="21" spans="1:4" ht="20" customHeight="1" x14ac:dyDescent="0.35">
      <c r="A21" s="2" t="s">
        <v>40</v>
      </c>
      <c r="B21" s="8">
        <f>B20/B6</f>
        <v>8.9285714285714288</v>
      </c>
      <c r="C21" s="4" t="s">
        <v>41</v>
      </c>
      <c r="D21" s="5" t="s">
        <v>36</v>
      </c>
    </row>
    <row r="22" spans="1:4" ht="20" customHeight="1" x14ac:dyDescent="0.35">
      <c r="A22" s="2" t="s">
        <v>42</v>
      </c>
      <c r="B22" s="8">
        <f>B10/2</f>
        <v>48</v>
      </c>
      <c r="C22" s="4" t="s">
        <v>43</v>
      </c>
      <c r="D22" s="5" t="s">
        <v>44</v>
      </c>
    </row>
    <row r="23" spans="1:4" ht="20" customHeight="1" x14ac:dyDescent="0.35">
      <c r="A23" s="2" t="s">
        <v>45</v>
      </c>
      <c r="B23" s="8">
        <f>B21*B22</f>
        <v>428.57142857142856</v>
      </c>
      <c r="C23" s="4" t="s">
        <v>35</v>
      </c>
      <c r="D23" s="5" t="s">
        <v>46</v>
      </c>
    </row>
    <row r="24" spans="1:4" ht="20" customHeight="1" x14ac:dyDescent="0.35">
      <c r="A24" s="2" t="s">
        <v>47</v>
      </c>
      <c r="B24" s="8">
        <f>B23*(B9/4)</f>
        <v>1285.7142857142858</v>
      </c>
      <c r="C24" s="4" t="s">
        <v>48</v>
      </c>
      <c r="D24" s="5" t="s">
        <v>49</v>
      </c>
    </row>
    <row r="25" spans="1:4" ht="20" customHeight="1" x14ac:dyDescent="0.35"/>
    <row r="26" spans="1:4" ht="20" customHeight="1" x14ac:dyDescent="0.35"/>
    <row r="27" spans="1:4" ht="20" customHeight="1" x14ac:dyDescent="0.35"/>
    <row r="28" spans="1:4" ht="20" customHeight="1" x14ac:dyDescent="0.35">
      <c r="A28" s="32" t="s">
        <v>50</v>
      </c>
      <c r="B28" s="31"/>
      <c r="C28" s="31"/>
      <c r="D28" s="31"/>
    </row>
    <row r="29" spans="1:4" ht="20" customHeight="1" x14ac:dyDescent="0.35">
      <c r="A29" s="2" t="s">
        <v>51</v>
      </c>
      <c r="B29" s="7">
        <v>20</v>
      </c>
      <c r="C29" s="4" t="s">
        <v>35</v>
      </c>
      <c r="D29" s="5" t="s">
        <v>52</v>
      </c>
    </row>
    <row r="30" spans="1:4" ht="20" customHeight="1" x14ac:dyDescent="0.35">
      <c r="A30" s="2" t="s">
        <v>53</v>
      </c>
      <c r="B30" s="7">
        <v>20</v>
      </c>
      <c r="C30" s="4" t="s">
        <v>35</v>
      </c>
      <c r="D30" s="5" t="s">
        <v>52</v>
      </c>
    </row>
    <row r="31" spans="1:4" ht="20" customHeight="1" x14ac:dyDescent="0.35">
      <c r="A31" s="2" t="s">
        <v>54</v>
      </c>
      <c r="B31" s="7">
        <v>10</v>
      </c>
      <c r="C31" s="4" t="s">
        <v>35</v>
      </c>
      <c r="D31" s="5" t="s">
        <v>55</v>
      </c>
    </row>
    <row r="32" spans="1:4" ht="20" customHeight="1" x14ac:dyDescent="0.35">
      <c r="A32" s="2" t="s">
        <v>56</v>
      </c>
      <c r="B32" s="9">
        <v>0</v>
      </c>
      <c r="C32" s="4" t="s">
        <v>35</v>
      </c>
      <c r="D32" s="5" t="s">
        <v>57</v>
      </c>
    </row>
    <row r="33" spans="1:4" ht="20" customHeight="1" x14ac:dyDescent="0.35">
      <c r="A33" s="2" t="s">
        <v>58</v>
      </c>
      <c r="B33" s="9">
        <v>0</v>
      </c>
      <c r="C33" s="4" t="s">
        <v>35</v>
      </c>
      <c r="D33" s="5" t="s">
        <v>59</v>
      </c>
    </row>
    <row r="34" spans="1:4" ht="20" customHeight="1" x14ac:dyDescent="0.35">
      <c r="A34" s="2" t="s">
        <v>60</v>
      </c>
      <c r="B34" s="9">
        <v>0</v>
      </c>
      <c r="C34" s="4" t="s">
        <v>35</v>
      </c>
      <c r="D34" s="5" t="s">
        <v>61</v>
      </c>
    </row>
    <row r="35" spans="1:4" ht="20" customHeight="1" x14ac:dyDescent="0.35">
      <c r="A35" s="2" t="s">
        <v>62</v>
      </c>
      <c r="B35" s="9">
        <v>0</v>
      </c>
      <c r="C35" s="4" t="s">
        <v>35</v>
      </c>
      <c r="D35" s="5" t="s">
        <v>63</v>
      </c>
    </row>
    <row r="36" spans="1:4" ht="20" customHeight="1" x14ac:dyDescent="0.35">
      <c r="A36" s="2" t="s">
        <v>64</v>
      </c>
      <c r="B36" s="9">
        <v>0</v>
      </c>
      <c r="C36" s="4" t="s">
        <v>35</v>
      </c>
      <c r="D36" s="5" t="s">
        <v>65</v>
      </c>
    </row>
    <row r="37" spans="1:4" ht="20" customHeight="1" x14ac:dyDescent="0.35">
      <c r="A37" s="2" t="s">
        <v>66</v>
      </c>
      <c r="B37" s="9">
        <v>0</v>
      </c>
      <c r="C37" s="4" t="s">
        <v>35</v>
      </c>
      <c r="D37" s="5" t="s">
        <v>67</v>
      </c>
    </row>
    <row r="38" spans="1:4" ht="20" customHeight="1" x14ac:dyDescent="0.35">
      <c r="A38" s="10" t="s">
        <v>68</v>
      </c>
      <c r="B38" s="11">
        <f>SUM(B29:B37)</f>
        <v>50</v>
      </c>
      <c r="C38" s="4" t="s">
        <v>35</v>
      </c>
      <c r="D38" s="5" t="s">
        <v>69</v>
      </c>
    </row>
    <row r="39" spans="1:4" ht="20" customHeight="1" x14ac:dyDescent="0.35"/>
    <row r="40" spans="1:4" ht="20" customHeight="1" x14ac:dyDescent="0.35">
      <c r="A40" s="32" t="s">
        <v>70</v>
      </c>
      <c r="B40" s="31"/>
      <c r="C40" s="31"/>
      <c r="D40" s="31"/>
    </row>
    <row r="41" spans="1:4" ht="20" customHeight="1" x14ac:dyDescent="0.35">
      <c r="A41" s="2" t="s">
        <v>71</v>
      </c>
      <c r="B41" s="7">
        <v>5</v>
      </c>
      <c r="C41" s="4" t="s">
        <v>35</v>
      </c>
      <c r="D41" s="5" t="s">
        <v>72</v>
      </c>
    </row>
    <row r="42" spans="1:4" ht="20" customHeight="1" x14ac:dyDescent="0.35">
      <c r="A42" s="2" t="s">
        <v>73</v>
      </c>
      <c r="B42" s="7">
        <v>8</v>
      </c>
      <c r="C42" s="4" t="s">
        <v>35</v>
      </c>
      <c r="D42" s="5" t="s">
        <v>74</v>
      </c>
    </row>
    <row r="43" spans="1:4" ht="20" customHeight="1" x14ac:dyDescent="0.35">
      <c r="A43" s="2" t="s">
        <v>75</v>
      </c>
      <c r="B43" s="7">
        <v>2</v>
      </c>
      <c r="C43" s="4" t="s">
        <v>35</v>
      </c>
      <c r="D43" s="5" t="s">
        <v>76</v>
      </c>
    </row>
    <row r="44" spans="1:4" ht="20" customHeight="1" x14ac:dyDescent="0.35">
      <c r="A44" s="10" t="s">
        <v>77</v>
      </c>
      <c r="B44" s="11">
        <f>SUM(B41:B43)</f>
        <v>15</v>
      </c>
      <c r="C44" s="4" t="s">
        <v>35</v>
      </c>
      <c r="D44" s="5" t="s">
        <v>78</v>
      </c>
    </row>
    <row r="45" spans="1:4" ht="20" customHeight="1" x14ac:dyDescent="0.35"/>
  </sheetData>
  <mergeCells count="6">
    <mergeCell ref="A1:D1"/>
    <mergeCell ref="A40:D40"/>
    <mergeCell ref="A12:D12"/>
    <mergeCell ref="A4:D4"/>
    <mergeCell ref="A2:D2"/>
    <mergeCell ref="A28:D2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5"/>
  <sheetViews>
    <sheetView topLeftCell="A32" workbookViewId="0">
      <selection activeCell="F49" sqref="F49"/>
    </sheetView>
  </sheetViews>
  <sheetFormatPr baseColWidth="10" defaultColWidth="8.7265625" defaultRowHeight="14.5" x14ac:dyDescent="0.35"/>
  <cols>
    <col min="1" max="1" width="36" customWidth="1"/>
    <col min="2" max="6" width="16" customWidth="1"/>
    <col min="7" max="7" width="30" customWidth="1"/>
  </cols>
  <sheetData>
    <row r="1" spans="1:7" ht="18" x14ac:dyDescent="0.35">
      <c r="A1" s="30" t="s">
        <v>79</v>
      </c>
      <c r="B1" s="31"/>
      <c r="C1" s="31"/>
      <c r="D1" s="31"/>
      <c r="E1" s="31"/>
      <c r="F1" s="31"/>
      <c r="G1" s="31"/>
    </row>
    <row r="2" spans="1:7" x14ac:dyDescent="0.35">
      <c r="A2" s="33" t="s">
        <v>80</v>
      </c>
      <c r="B2" s="31"/>
      <c r="C2" s="31"/>
      <c r="D2" s="31"/>
      <c r="E2" s="31"/>
      <c r="F2" s="31"/>
      <c r="G2" s="31"/>
    </row>
    <row r="4" spans="1:7" ht="30" customHeight="1" x14ac:dyDescent="0.35">
      <c r="A4" s="12" t="s">
        <v>81</v>
      </c>
      <c r="B4" s="12" t="s">
        <v>82</v>
      </c>
      <c r="C4" s="12" t="s">
        <v>83</v>
      </c>
      <c r="D4" s="12" t="s">
        <v>84</v>
      </c>
      <c r="E4" s="12" t="s">
        <v>85</v>
      </c>
      <c r="F4" s="12" t="s">
        <v>86</v>
      </c>
      <c r="G4" s="12" t="s">
        <v>87</v>
      </c>
    </row>
    <row r="5" spans="1:7" ht="18" customHeight="1" x14ac:dyDescent="0.35">
      <c r="A5" s="32" t="s">
        <v>88</v>
      </c>
      <c r="B5" s="31"/>
      <c r="C5" s="31"/>
      <c r="D5" s="31"/>
      <c r="E5" s="31"/>
      <c r="F5" s="31"/>
      <c r="G5" s="31"/>
    </row>
    <row r="6" spans="1:7" ht="20" customHeight="1" x14ac:dyDescent="0.35">
      <c r="A6" s="13" t="s">
        <v>89</v>
      </c>
      <c r="B6" s="14">
        <f>Supuestos!B21*2</f>
        <v>17.857142857142858</v>
      </c>
      <c r="C6" s="14">
        <f>Supuestos!B21*2</f>
        <v>17.857142857142858</v>
      </c>
      <c r="D6" s="14">
        <f>Supuestos!B21*2</f>
        <v>17.857142857142858</v>
      </c>
      <c r="E6" s="14">
        <f>Supuestos!B21*2</f>
        <v>17.857142857142858</v>
      </c>
      <c r="F6" s="14"/>
      <c r="G6" s="5" t="s">
        <v>90</v>
      </c>
    </row>
    <row r="7" spans="1:7" ht="20" customHeight="1" x14ac:dyDescent="0.35">
      <c r="A7" s="13" t="s">
        <v>91</v>
      </c>
      <c r="B7" s="14">
        <f>Supuestos!B22</f>
        <v>48</v>
      </c>
      <c r="C7" s="14">
        <f>Supuestos!B22</f>
        <v>48</v>
      </c>
      <c r="D7" s="14">
        <f>Supuestos!B22</f>
        <v>48</v>
      </c>
      <c r="E7" s="14">
        <f>Supuestos!B22</f>
        <v>48</v>
      </c>
      <c r="F7" s="14"/>
      <c r="G7" s="5" t="s">
        <v>92</v>
      </c>
    </row>
    <row r="8" spans="1:7" ht="20" customHeight="1" x14ac:dyDescent="0.35">
      <c r="A8" s="13" t="s">
        <v>93</v>
      </c>
      <c r="B8" s="14">
        <f>B6*B7</f>
        <v>857.14285714285711</v>
      </c>
      <c r="C8" s="14">
        <f>C6*C7</f>
        <v>857.14285714285711</v>
      </c>
      <c r="D8" s="14">
        <f>D6*D7</f>
        <v>857.14285714285711</v>
      </c>
      <c r="E8" s="14">
        <f>E6*E7</f>
        <v>857.14285714285711</v>
      </c>
      <c r="F8" s="14"/>
      <c r="G8" s="5" t="s">
        <v>94</v>
      </c>
    </row>
    <row r="9" spans="1:7" ht="20" customHeight="1" x14ac:dyDescent="0.35">
      <c r="A9" s="15" t="s">
        <v>95</v>
      </c>
      <c r="B9" s="16">
        <f>B8*12</f>
        <v>10285.714285714286</v>
      </c>
      <c r="C9" s="16">
        <f>C8*12</f>
        <v>10285.714285714286</v>
      </c>
      <c r="D9" s="16">
        <f>D8*12</f>
        <v>10285.714285714286</v>
      </c>
      <c r="E9" s="16">
        <f>E8*12</f>
        <v>10285.714285714286</v>
      </c>
      <c r="F9" s="16"/>
      <c r="G9" s="17" t="s">
        <v>96</v>
      </c>
    </row>
    <row r="11" spans="1:7" ht="18" customHeight="1" x14ac:dyDescent="0.35">
      <c r="A11" s="32" t="s">
        <v>97</v>
      </c>
      <c r="B11" s="31"/>
      <c r="C11" s="31"/>
      <c r="D11" s="31"/>
      <c r="E11" s="31"/>
      <c r="F11" s="31"/>
      <c r="G11" s="31"/>
    </row>
    <row r="12" spans="1:7" ht="20" customHeight="1" x14ac:dyDescent="0.35">
      <c r="A12" s="13" t="s">
        <v>98</v>
      </c>
      <c r="B12" s="18">
        <v>0</v>
      </c>
      <c r="C12" s="18">
        <v>0</v>
      </c>
      <c r="D12" s="18">
        <v>0</v>
      </c>
      <c r="E12" s="18">
        <v>0</v>
      </c>
      <c r="F12" s="18"/>
      <c r="G12" s="5" t="s">
        <v>99</v>
      </c>
    </row>
    <row r="13" spans="1:7" ht="20" customHeight="1" x14ac:dyDescent="0.35">
      <c r="A13" s="13" t="s">
        <v>100</v>
      </c>
      <c r="B13" s="18">
        <v>0</v>
      </c>
      <c r="C13" s="18">
        <v>0</v>
      </c>
      <c r="D13" s="18">
        <v>18000</v>
      </c>
      <c r="E13" s="18">
        <v>18000</v>
      </c>
      <c r="F13" s="18"/>
      <c r="G13" s="5" t="s">
        <v>101</v>
      </c>
    </row>
    <row r="14" spans="1:7" ht="20" customHeight="1" x14ac:dyDescent="0.35">
      <c r="A14" s="13" t="s">
        <v>102</v>
      </c>
      <c r="B14" s="18">
        <v>0</v>
      </c>
      <c r="C14" s="18">
        <v>0</v>
      </c>
      <c r="D14" s="18">
        <v>0</v>
      </c>
      <c r="E14" s="18">
        <v>12000</v>
      </c>
      <c r="F14" s="18"/>
      <c r="G14" s="5" t="s">
        <v>103</v>
      </c>
    </row>
    <row r="15" spans="1:7" ht="20" customHeight="1" x14ac:dyDescent="0.35">
      <c r="A15" s="15" t="s">
        <v>104</v>
      </c>
      <c r="B15" s="16">
        <f>SUM(B12:B14)</f>
        <v>0</v>
      </c>
      <c r="C15" s="16">
        <f>SUM(C12:C14)</f>
        <v>0</v>
      </c>
      <c r="D15" s="16">
        <f>SUM(D12:D14)</f>
        <v>18000</v>
      </c>
      <c r="E15" s="16">
        <f>SUM(E12:E14)</f>
        <v>30000</v>
      </c>
      <c r="F15" s="16"/>
      <c r="G15" s="17" t="s">
        <v>105</v>
      </c>
    </row>
    <row r="17" spans="1:7" ht="18" customHeight="1" x14ac:dyDescent="0.35">
      <c r="A17" s="32" t="s">
        <v>106</v>
      </c>
      <c r="B17" s="31"/>
      <c r="C17" s="31"/>
      <c r="D17" s="31"/>
      <c r="E17" s="31"/>
      <c r="F17" s="31"/>
      <c r="G17" s="31"/>
    </row>
    <row r="18" spans="1:7" ht="20" customHeight="1" x14ac:dyDescent="0.35">
      <c r="A18" s="13" t="s">
        <v>107</v>
      </c>
      <c r="B18" s="18">
        <v>240</v>
      </c>
      <c r="C18" s="18">
        <v>240</v>
      </c>
      <c r="D18" s="18">
        <v>240</v>
      </c>
      <c r="E18" s="18">
        <v>240</v>
      </c>
      <c r="F18" s="18"/>
      <c r="G18" s="5" t="s">
        <v>108</v>
      </c>
    </row>
    <row r="19" spans="1:7" ht="20" customHeight="1" x14ac:dyDescent="0.35">
      <c r="A19" s="13" t="s">
        <v>109</v>
      </c>
      <c r="B19" s="18">
        <v>240</v>
      </c>
      <c r="C19" s="18">
        <v>240</v>
      </c>
      <c r="D19" s="18">
        <v>240</v>
      </c>
      <c r="E19" s="18">
        <v>240</v>
      </c>
      <c r="F19" s="18"/>
      <c r="G19" s="5" t="s">
        <v>108</v>
      </c>
    </row>
    <row r="20" spans="1:7" ht="20" customHeight="1" x14ac:dyDescent="0.35">
      <c r="A20" s="13" t="s">
        <v>54</v>
      </c>
      <c r="B20" s="18">
        <v>120</v>
      </c>
      <c r="C20" s="18">
        <v>120</v>
      </c>
      <c r="D20" s="18">
        <v>120</v>
      </c>
      <c r="E20" s="18">
        <v>120</v>
      </c>
      <c r="F20" s="18"/>
      <c r="G20" s="5" t="s">
        <v>110</v>
      </c>
    </row>
    <row r="21" spans="1:7" ht="20" customHeight="1" x14ac:dyDescent="0.35">
      <c r="A21" s="13" t="s">
        <v>56</v>
      </c>
      <c r="B21" s="18">
        <v>0</v>
      </c>
      <c r="C21" s="18">
        <v>0</v>
      </c>
      <c r="D21" s="18">
        <v>0</v>
      </c>
      <c r="E21" s="18">
        <v>0</v>
      </c>
      <c r="F21" s="18"/>
      <c r="G21" s="5" t="s">
        <v>111</v>
      </c>
    </row>
    <row r="22" spans="1:7" ht="20" customHeight="1" x14ac:dyDescent="0.35">
      <c r="A22" s="13" t="s">
        <v>112</v>
      </c>
      <c r="B22" s="18">
        <v>0</v>
      </c>
      <c r="C22" s="18">
        <v>0</v>
      </c>
      <c r="D22" s="18">
        <v>8820</v>
      </c>
      <c r="E22" s="18">
        <v>8820</v>
      </c>
      <c r="F22" s="18"/>
      <c r="G22" s="5" t="s">
        <v>113</v>
      </c>
    </row>
    <row r="23" spans="1:7" ht="20" customHeight="1" x14ac:dyDescent="0.35">
      <c r="A23" s="13" t="s">
        <v>114</v>
      </c>
      <c r="B23" s="18">
        <v>0</v>
      </c>
      <c r="C23" s="18">
        <v>0</v>
      </c>
      <c r="D23" s="18">
        <v>0</v>
      </c>
      <c r="E23" s="18">
        <v>0</v>
      </c>
      <c r="F23" s="18"/>
      <c r="G23" s="5" t="s">
        <v>115</v>
      </c>
    </row>
    <row r="24" spans="1:7" ht="20" customHeight="1" x14ac:dyDescent="0.35">
      <c r="A24" s="13" t="s">
        <v>60</v>
      </c>
      <c r="B24" s="18">
        <v>0</v>
      </c>
      <c r="C24" s="18">
        <v>0</v>
      </c>
      <c r="D24" s="18">
        <v>0</v>
      </c>
      <c r="E24" s="18">
        <v>0</v>
      </c>
      <c r="F24" s="18"/>
      <c r="G24" s="5" t="s">
        <v>61</v>
      </c>
    </row>
    <row r="25" spans="1:7" ht="20" customHeight="1" x14ac:dyDescent="0.35">
      <c r="A25" s="13" t="s">
        <v>116</v>
      </c>
      <c r="B25" s="18">
        <v>0</v>
      </c>
      <c r="C25" s="18">
        <v>0</v>
      </c>
      <c r="D25" s="18">
        <v>0</v>
      </c>
      <c r="E25" s="18">
        <v>144</v>
      </c>
      <c r="F25" s="18"/>
      <c r="G25" s="5" t="s">
        <v>117</v>
      </c>
    </row>
    <row r="26" spans="1:7" ht="20" customHeight="1" x14ac:dyDescent="0.35">
      <c r="A26" s="15" t="s">
        <v>118</v>
      </c>
      <c r="B26" s="16">
        <f>SUM(B18:B25)</f>
        <v>600</v>
      </c>
      <c r="C26" s="16">
        <f>SUM(C18:C25)</f>
        <v>600</v>
      </c>
      <c r="D26" s="16">
        <f>SUM(D18:D25)</f>
        <v>9420</v>
      </c>
      <c r="E26" s="16">
        <f>SUM(E18:E25)</f>
        <v>9564</v>
      </c>
      <c r="F26" s="16"/>
      <c r="G26" s="17" t="s">
        <v>119</v>
      </c>
    </row>
    <row r="28" spans="1:7" ht="18" customHeight="1" x14ac:dyDescent="0.35">
      <c r="A28" s="32" t="s">
        <v>120</v>
      </c>
      <c r="B28" s="31"/>
      <c r="C28" s="31"/>
      <c r="D28" s="31"/>
      <c r="E28" s="31"/>
      <c r="F28" s="31"/>
      <c r="G28" s="31"/>
    </row>
    <row r="29" spans="1:7" ht="20" customHeight="1" x14ac:dyDescent="0.35">
      <c r="A29" s="13" t="s">
        <v>121</v>
      </c>
      <c r="B29" s="18">
        <v>0</v>
      </c>
      <c r="C29" s="18">
        <v>0</v>
      </c>
      <c r="D29" s="18">
        <v>0</v>
      </c>
      <c r="E29" s="18">
        <v>0</v>
      </c>
      <c r="F29" s="18"/>
      <c r="G29" s="5" t="s">
        <v>122</v>
      </c>
    </row>
    <row r="30" spans="1:7" ht="20" customHeight="1" x14ac:dyDescent="0.35">
      <c r="A30" s="13" t="s">
        <v>123</v>
      </c>
      <c r="B30" s="18">
        <v>0</v>
      </c>
      <c r="C30" s="18">
        <v>0</v>
      </c>
      <c r="D30" s="18">
        <v>1200</v>
      </c>
      <c r="E30" s="18">
        <v>2400</v>
      </c>
      <c r="F30" s="18"/>
      <c r="G30" s="5" t="s">
        <v>124</v>
      </c>
    </row>
    <row r="31" spans="1:7" ht="20" customHeight="1" x14ac:dyDescent="0.35">
      <c r="A31" s="13" t="s">
        <v>125</v>
      </c>
      <c r="B31" s="18">
        <v>0</v>
      </c>
      <c r="C31" s="18">
        <v>20</v>
      </c>
      <c r="D31" s="18">
        <v>20</v>
      </c>
      <c r="E31" s="18">
        <v>20</v>
      </c>
      <c r="F31" s="18"/>
      <c r="G31" s="5" t="s">
        <v>126</v>
      </c>
    </row>
    <row r="32" spans="1:7" ht="20" customHeight="1" x14ac:dyDescent="0.35">
      <c r="A32" s="15" t="s">
        <v>127</v>
      </c>
      <c r="B32" s="16">
        <f>SUM(B29:B31)</f>
        <v>0</v>
      </c>
      <c r="C32" s="16">
        <f>SUM(C29:C31)</f>
        <v>20</v>
      </c>
      <c r="D32" s="16">
        <f>SUM(D29:D31)</f>
        <v>1220</v>
      </c>
      <c r="E32" s="16">
        <f>SUM(E29:E31)</f>
        <v>2420</v>
      </c>
      <c r="F32" s="16"/>
      <c r="G32" s="17" t="s">
        <v>128</v>
      </c>
    </row>
    <row r="34" spans="1:7" ht="18" customHeight="1" x14ac:dyDescent="0.35">
      <c r="A34" s="32" t="s">
        <v>129</v>
      </c>
      <c r="B34" s="31"/>
      <c r="C34" s="31"/>
      <c r="D34" s="31"/>
      <c r="E34" s="31"/>
      <c r="F34" s="31"/>
      <c r="G34" s="31"/>
    </row>
    <row r="35" spans="1:7" ht="20" customHeight="1" x14ac:dyDescent="0.35">
      <c r="A35" s="13" t="s">
        <v>130</v>
      </c>
      <c r="B35" s="18">
        <v>120</v>
      </c>
      <c r="C35" s="18">
        <v>120</v>
      </c>
      <c r="D35" s="18">
        <v>120</v>
      </c>
      <c r="E35" s="18">
        <v>120</v>
      </c>
      <c r="F35" s="18"/>
      <c r="G35" s="5" t="s">
        <v>131</v>
      </c>
    </row>
    <row r="36" spans="1:7" ht="20" customHeight="1" x14ac:dyDescent="0.35">
      <c r="A36" s="13" t="s">
        <v>73</v>
      </c>
      <c r="B36" s="18">
        <v>192</v>
      </c>
      <c r="C36" s="18">
        <v>192</v>
      </c>
      <c r="D36" s="18">
        <v>192</v>
      </c>
      <c r="E36" s="18">
        <v>192</v>
      </c>
      <c r="F36" s="18"/>
      <c r="G36" s="5" t="s">
        <v>132</v>
      </c>
    </row>
    <row r="37" spans="1:7" ht="20" customHeight="1" x14ac:dyDescent="0.35">
      <c r="A37" s="13" t="s">
        <v>75</v>
      </c>
      <c r="B37" s="18">
        <v>48</v>
      </c>
      <c r="C37" s="18">
        <v>48</v>
      </c>
      <c r="D37" s="18">
        <v>48</v>
      </c>
      <c r="E37" s="18">
        <v>48</v>
      </c>
      <c r="F37" s="18"/>
      <c r="G37" s="5" t="s">
        <v>133</v>
      </c>
    </row>
    <row r="38" spans="1:7" ht="20" customHeight="1" x14ac:dyDescent="0.35">
      <c r="A38" s="15" t="s">
        <v>134</v>
      </c>
      <c r="B38" s="16">
        <f>SUM(B35:B37)</f>
        <v>360</v>
      </c>
      <c r="C38" s="16">
        <f>SUM(C35:C37)</f>
        <v>360</v>
      </c>
      <c r="D38" s="16">
        <f>SUM(D35:D37)</f>
        <v>360</v>
      </c>
      <c r="E38" s="16">
        <f>SUM(E35:E37)</f>
        <v>360</v>
      </c>
      <c r="F38" s="16"/>
      <c r="G38" s="17" t="s">
        <v>78</v>
      </c>
    </row>
    <row r="40" spans="1:7" ht="18" customHeight="1" x14ac:dyDescent="0.35">
      <c r="A40" s="32" t="s">
        <v>135</v>
      </c>
      <c r="B40" s="31"/>
      <c r="C40" s="31"/>
      <c r="D40" s="31"/>
      <c r="E40" s="31"/>
      <c r="F40" s="31"/>
      <c r="G40" s="31"/>
    </row>
    <row r="41" spans="1:7" ht="20" customHeight="1" x14ac:dyDescent="0.35">
      <c r="A41" s="13" t="s">
        <v>136</v>
      </c>
      <c r="B41" s="18">
        <v>0</v>
      </c>
      <c r="C41" s="18">
        <v>0</v>
      </c>
      <c r="D41" s="18">
        <v>1500</v>
      </c>
      <c r="E41" s="18">
        <v>0</v>
      </c>
      <c r="F41" s="18"/>
      <c r="G41" s="5" t="s">
        <v>137</v>
      </c>
    </row>
    <row r="42" spans="1:7" ht="20" customHeight="1" x14ac:dyDescent="0.35">
      <c r="A42" s="13" t="s">
        <v>138</v>
      </c>
      <c r="B42" s="18">
        <v>0</v>
      </c>
      <c r="C42" s="18">
        <v>0</v>
      </c>
      <c r="D42" s="18">
        <v>1200</v>
      </c>
      <c r="E42" s="18">
        <v>1800</v>
      </c>
      <c r="F42" s="18"/>
      <c r="G42" s="5" t="s">
        <v>139</v>
      </c>
    </row>
    <row r="43" spans="1:7" ht="20" customHeight="1" x14ac:dyDescent="0.35">
      <c r="A43" s="13" t="s">
        <v>140</v>
      </c>
      <c r="B43" s="18">
        <v>0</v>
      </c>
      <c r="C43" s="18">
        <v>0</v>
      </c>
      <c r="D43" s="18">
        <v>800</v>
      </c>
      <c r="E43" s="18">
        <v>0</v>
      </c>
      <c r="F43" s="18"/>
      <c r="G43" s="5" t="s">
        <v>141</v>
      </c>
    </row>
    <row r="44" spans="1:7" ht="20" customHeight="1" x14ac:dyDescent="0.35">
      <c r="A44" s="15" t="s">
        <v>142</v>
      </c>
      <c r="B44" s="16">
        <f>SUM(B41:B43)</f>
        <v>0</v>
      </c>
      <c r="C44" s="16">
        <f>SUM(C41:C43)</f>
        <v>0</v>
      </c>
      <c r="D44" s="16">
        <f>SUM(D41:D43)</f>
        <v>3500</v>
      </c>
      <c r="E44" s="16">
        <f>SUM(E41:E43)</f>
        <v>1800</v>
      </c>
      <c r="F44" s="16"/>
      <c r="G44" s="17" t="s">
        <v>143</v>
      </c>
    </row>
    <row r="46" spans="1:7" ht="4" customHeight="1" x14ac:dyDescent="0.35"/>
    <row r="47" spans="1:7" ht="18" customHeight="1" x14ac:dyDescent="0.35">
      <c r="A47" s="32" t="s">
        <v>144</v>
      </c>
      <c r="B47" s="31"/>
      <c r="C47" s="31"/>
      <c r="D47" s="31"/>
      <c r="E47" s="31"/>
      <c r="F47" s="31"/>
      <c r="G47" s="31"/>
    </row>
    <row r="48" spans="1:7" ht="20" customHeight="1" x14ac:dyDescent="0.35">
      <c r="A48" s="15" t="s">
        <v>145</v>
      </c>
      <c r="B48" s="16">
        <f>B26+B32+B38+B44</f>
        <v>960</v>
      </c>
      <c r="C48" s="16">
        <f>C26+C32+C38+C44</f>
        <v>980</v>
      </c>
      <c r="D48" s="16">
        <f>D26+D32+D38+D44</f>
        <v>14500</v>
      </c>
      <c r="E48" s="16">
        <f>E26+E32+E38+E44</f>
        <v>14144</v>
      </c>
      <c r="F48" s="16"/>
      <c r="G48" s="17" t="s">
        <v>146</v>
      </c>
    </row>
    <row r="49" spans="1:7" ht="20" customHeight="1" x14ac:dyDescent="0.35">
      <c r="A49" s="15" t="s">
        <v>147</v>
      </c>
      <c r="B49" s="16">
        <f>B48+B9</f>
        <v>11245.714285714286</v>
      </c>
      <c r="C49" s="16">
        <f>C48+C9</f>
        <v>11265.714285714286</v>
      </c>
      <c r="D49" s="16">
        <f>D48+D9</f>
        <v>24785.714285714286</v>
      </c>
      <c r="E49" s="16">
        <f>E48+E9</f>
        <v>24429.714285714286</v>
      </c>
      <c r="F49" s="16"/>
      <c r="G49" s="17" t="s">
        <v>148</v>
      </c>
    </row>
    <row r="51" spans="1:7" ht="18" customHeight="1" x14ac:dyDescent="0.35">
      <c r="A51" s="35" t="s">
        <v>149</v>
      </c>
      <c r="B51" s="31"/>
      <c r="C51" s="31"/>
      <c r="D51" s="31"/>
      <c r="E51" s="31"/>
      <c r="F51" s="31"/>
      <c r="G51" s="31"/>
    </row>
    <row r="52" spans="1:7" ht="36" customHeight="1" x14ac:dyDescent="0.35">
      <c r="A52" s="19" t="s">
        <v>150</v>
      </c>
      <c r="B52" s="34" t="s">
        <v>151</v>
      </c>
      <c r="C52" s="31"/>
      <c r="D52" s="31"/>
      <c r="E52" s="31"/>
      <c r="F52" s="31"/>
      <c r="G52" s="31"/>
    </row>
    <row r="53" spans="1:7" ht="36" customHeight="1" x14ac:dyDescent="0.35">
      <c r="A53" s="19" t="s">
        <v>152</v>
      </c>
      <c r="B53" s="34" t="s">
        <v>153</v>
      </c>
      <c r="C53" s="31"/>
      <c r="D53" s="31"/>
      <c r="E53" s="31"/>
      <c r="F53" s="31"/>
      <c r="G53" s="31"/>
    </row>
    <row r="54" spans="1:7" ht="36" customHeight="1" x14ac:dyDescent="0.35">
      <c r="A54" s="19" t="s">
        <v>154</v>
      </c>
      <c r="B54" s="34" t="s">
        <v>155</v>
      </c>
      <c r="C54" s="31"/>
      <c r="D54" s="31"/>
      <c r="E54" s="31"/>
      <c r="F54" s="31"/>
      <c r="G54" s="31"/>
    </row>
    <row r="55" spans="1:7" ht="36" customHeight="1" x14ac:dyDescent="0.35">
      <c r="A55" s="19" t="s">
        <v>156</v>
      </c>
      <c r="B55" s="34" t="s">
        <v>157</v>
      </c>
      <c r="C55" s="31"/>
      <c r="D55" s="31"/>
      <c r="E55" s="31"/>
      <c r="F55" s="31"/>
      <c r="G55" s="31"/>
    </row>
  </sheetData>
  <mergeCells count="14">
    <mergeCell ref="B55:G55"/>
    <mergeCell ref="A2:G2"/>
    <mergeCell ref="A28:G28"/>
    <mergeCell ref="B52:G52"/>
    <mergeCell ref="B53:G53"/>
    <mergeCell ref="A11:G11"/>
    <mergeCell ref="A47:G47"/>
    <mergeCell ref="A5:G5"/>
    <mergeCell ref="B54:G54"/>
    <mergeCell ref="A1:G1"/>
    <mergeCell ref="A17:G17"/>
    <mergeCell ref="A40:G40"/>
    <mergeCell ref="A51:G51"/>
    <mergeCell ref="A34:G3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9"/>
  <sheetViews>
    <sheetView topLeftCell="A4" workbookViewId="0">
      <selection activeCell="B19" sqref="B19"/>
    </sheetView>
  </sheetViews>
  <sheetFormatPr baseColWidth="10" defaultColWidth="8.7265625" defaultRowHeight="14.5" x14ac:dyDescent="0.35"/>
  <cols>
    <col min="1" max="1" width="36" customWidth="1"/>
    <col min="2" max="6" width="16" customWidth="1"/>
    <col min="7" max="7" width="30" customWidth="1"/>
  </cols>
  <sheetData>
    <row r="1" spans="1:7" ht="20" customHeight="1" x14ac:dyDescent="0.35">
      <c r="A1" s="30" t="s">
        <v>158</v>
      </c>
      <c r="B1" s="31"/>
      <c r="C1" s="31"/>
      <c r="D1" s="31"/>
      <c r="E1" s="31"/>
      <c r="F1" s="31"/>
      <c r="G1" s="31"/>
    </row>
    <row r="2" spans="1:7" ht="20" customHeight="1" x14ac:dyDescent="0.35">
      <c r="A2" s="33" t="s">
        <v>159</v>
      </c>
      <c r="B2" s="31"/>
      <c r="C2" s="31"/>
      <c r="D2" s="31"/>
      <c r="E2" s="31"/>
      <c r="F2" s="31"/>
      <c r="G2" s="31"/>
    </row>
    <row r="3" spans="1:7" ht="20" customHeight="1" x14ac:dyDescent="0.35"/>
    <row r="4" spans="1:7" ht="20" customHeight="1" x14ac:dyDescent="0.35">
      <c r="A4" s="32" t="s">
        <v>160</v>
      </c>
      <c r="B4" s="31"/>
      <c r="C4" s="31"/>
      <c r="D4" s="31"/>
      <c r="E4" s="31"/>
      <c r="F4" s="31"/>
      <c r="G4" s="31"/>
    </row>
    <row r="5" spans="1:7" ht="20" customHeight="1" x14ac:dyDescent="0.35">
      <c r="A5" s="2" t="s">
        <v>161</v>
      </c>
      <c r="B5" s="6">
        <v>0.12</v>
      </c>
      <c r="C5" s="4" t="s">
        <v>162</v>
      </c>
      <c r="D5" s="37" t="s">
        <v>163</v>
      </c>
      <c r="E5" s="31"/>
      <c r="F5" s="31"/>
      <c r="G5" s="31"/>
    </row>
    <row r="6" spans="1:7" ht="20" customHeight="1" x14ac:dyDescent="0.35">
      <c r="A6" s="2" t="s">
        <v>164</v>
      </c>
      <c r="B6" s="7">
        <v>0</v>
      </c>
      <c r="C6" s="4" t="s">
        <v>48</v>
      </c>
      <c r="D6" s="37" t="s">
        <v>165</v>
      </c>
      <c r="E6" s="31"/>
      <c r="F6" s="31"/>
      <c r="G6" s="31"/>
    </row>
    <row r="7" spans="1:7" ht="20" customHeight="1" x14ac:dyDescent="0.35"/>
    <row r="8" spans="1:7" ht="20" customHeight="1" x14ac:dyDescent="0.35">
      <c r="A8" s="1" t="s">
        <v>166</v>
      </c>
      <c r="B8" s="1" t="s">
        <v>167</v>
      </c>
      <c r="C8" s="1" t="s">
        <v>168</v>
      </c>
      <c r="D8" s="1" t="s">
        <v>169</v>
      </c>
      <c r="E8" s="1" t="s">
        <v>170</v>
      </c>
      <c r="F8" s="1" t="s">
        <v>171</v>
      </c>
      <c r="G8" s="1" t="s">
        <v>172</v>
      </c>
    </row>
    <row r="9" spans="1:7" ht="20" customHeight="1" x14ac:dyDescent="0.35">
      <c r="A9" s="32" t="s">
        <v>173</v>
      </c>
      <c r="B9" s="31"/>
      <c r="C9" s="31"/>
      <c r="D9" s="31"/>
      <c r="E9" s="31"/>
      <c r="F9" s="31"/>
      <c r="G9" s="31"/>
    </row>
    <row r="10" spans="1:7" ht="20" customHeight="1" x14ac:dyDescent="0.35">
      <c r="A10" s="2" t="s">
        <v>174</v>
      </c>
      <c r="B10" s="20">
        <v>3</v>
      </c>
      <c r="C10" s="20">
        <v>8</v>
      </c>
      <c r="D10" s="20">
        <v>12</v>
      </c>
      <c r="E10" s="20">
        <v>15</v>
      </c>
      <c r="F10" s="20"/>
      <c r="G10" s="37" t="s">
        <v>175</v>
      </c>
    </row>
    <row r="11" spans="1:7" ht="20" customHeight="1" x14ac:dyDescent="0.35">
      <c r="A11" s="2" t="s">
        <v>176</v>
      </c>
      <c r="B11" s="18">
        <v>300</v>
      </c>
      <c r="C11" s="18">
        <v>400</v>
      </c>
      <c r="D11" s="18">
        <v>600</v>
      </c>
      <c r="E11" s="18">
        <v>800</v>
      </c>
      <c r="F11" s="18"/>
      <c r="G11" s="37" t="s">
        <v>177</v>
      </c>
    </row>
    <row r="12" spans="1:7" ht="20" customHeight="1" x14ac:dyDescent="0.35">
      <c r="A12" s="2" t="s">
        <v>178</v>
      </c>
      <c r="B12" s="8">
        <f>B10*B11</f>
        <v>900</v>
      </c>
      <c r="C12" s="8">
        <f>C10*C11</f>
        <v>3200</v>
      </c>
      <c r="D12" s="8">
        <f>D10*D11</f>
        <v>7200</v>
      </c>
      <c r="E12" s="8">
        <f>E10*E11</f>
        <v>12000</v>
      </c>
      <c r="F12" s="8"/>
      <c r="G12" s="37" t="s">
        <v>179</v>
      </c>
    </row>
    <row r="13" spans="1:7" ht="20" customHeight="1" x14ac:dyDescent="0.35">
      <c r="A13" s="21" t="s">
        <v>180</v>
      </c>
      <c r="B13" s="8">
        <f>B12*12</f>
        <v>10800</v>
      </c>
      <c r="C13" s="8">
        <f>C12*12</f>
        <v>38400</v>
      </c>
      <c r="D13" s="8">
        <f>D12*12</f>
        <v>86400</v>
      </c>
      <c r="E13" s="8">
        <f>E12*12</f>
        <v>144000</v>
      </c>
      <c r="F13" s="8"/>
      <c r="G13" s="37" t="s">
        <v>181</v>
      </c>
    </row>
    <row r="14" spans="1:7" ht="20" customHeight="1" x14ac:dyDescent="0.35">
      <c r="A14" s="2" t="s">
        <v>182</v>
      </c>
      <c r="B14" s="20">
        <v>0</v>
      </c>
      <c r="C14" s="20">
        <v>1</v>
      </c>
      <c r="D14" s="20">
        <v>2</v>
      </c>
      <c r="E14" s="20">
        <v>4</v>
      </c>
      <c r="F14" s="20"/>
      <c r="G14" s="37" t="s">
        <v>183</v>
      </c>
    </row>
    <row r="15" spans="1:7" ht="20" customHeight="1" x14ac:dyDescent="0.35">
      <c r="A15" s="21" t="s">
        <v>184</v>
      </c>
      <c r="B15" s="8">
        <f>B13</f>
        <v>10800</v>
      </c>
      <c r="C15" s="8">
        <f>C13-(C14*C11*12)</f>
        <v>33600</v>
      </c>
      <c r="D15" s="8">
        <f>D13-(D14*D11*12)</f>
        <v>72000</v>
      </c>
      <c r="E15" s="8">
        <f>E13-(E14*E11*12)</f>
        <v>105600</v>
      </c>
      <c r="F15" s="8"/>
      <c r="G15" s="37" t="s">
        <v>185</v>
      </c>
    </row>
    <row r="16" spans="1:7" ht="20" customHeight="1" x14ac:dyDescent="0.35">
      <c r="A16" s="22" t="s">
        <v>186</v>
      </c>
      <c r="B16" s="23">
        <f>B15</f>
        <v>10800</v>
      </c>
      <c r="C16" s="23">
        <f>C15</f>
        <v>33600</v>
      </c>
      <c r="D16" s="23">
        <f>D15</f>
        <v>72000</v>
      </c>
      <c r="E16" s="23">
        <f>E15</f>
        <v>105600</v>
      </c>
      <c r="F16" s="23"/>
      <c r="G16" s="24">
        <f>SUM(B16:F16)</f>
        <v>222000</v>
      </c>
    </row>
    <row r="17" spans="1:7" ht="20" customHeight="1" x14ac:dyDescent="0.35"/>
    <row r="18" spans="1:7" ht="20" customHeight="1" x14ac:dyDescent="0.35">
      <c r="A18" s="32" t="s">
        <v>187</v>
      </c>
      <c r="B18" s="31"/>
      <c r="C18" s="31"/>
      <c r="D18" s="31"/>
      <c r="E18" s="31"/>
      <c r="F18" s="31"/>
      <c r="G18" s="31"/>
    </row>
    <row r="19" spans="1:7" ht="20" customHeight="1" x14ac:dyDescent="0.35">
      <c r="A19" s="2" t="s">
        <v>188</v>
      </c>
      <c r="B19" s="14">
        <f>'Costos Fijos Recurrentes'!B48</f>
        <v>960</v>
      </c>
      <c r="C19" s="14">
        <f>'Costos Fijos Recurrentes'!C48</f>
        <v>980</v>
      </c>
      <c r="D19" s="14">
        <f>'Costos Fijos Recurrentes'!D48</f>
        <v>14500</v>
      </c>
      <c r="E19" s="14">
        <f>'Costos Fijos Recurrentes'!E48</f>
        <v>14144</v>
      </c>
      <c r="F19" s="14"/>
      <c r="G19" s="14">
        <f>SUM(B19:F19)</f>
        <v>30584</v>
      </c>
    </row>
    <row r="20" spans="1:7" ht="20" customHeight="1" x14ac:dyDescent="0.35">
      <c r="A20" s="2" t="s">
        <v>189</v>
      </c>
      <c r="B20" s="14">
        <f>'Costos Fijos Recurrentes'!B9</f>
        <v>10285.714285714286</v>
      </c>
      <c r="C20" s="14">
        <f>'Costos Fijos Recurrentes'!C9</f>
        <v>10285.714285714286</v>
      </c>
      <c r="D20" s="14">
        <f>'Costos Fijos Recurrentes'!D9</f>
        <v>10285.714285714286</v>
      </c>
      <c r="E20" s="14">
        <f>'Costos Fijos Recurrentes'!E9</f>
        <v>10285.714285714286</v>
      </c>
      <c r="F20" s="14"/>
      <c r="G20" s="14">
        <f>SUM(B20:F20)</f>
        <v>41142.857142857145</v>
      </c>
    </row>
    <row r="21" spans="1:7" ht="20" customHeight="1" x14ac:dyDescent="0.35">
      <c r="A21" s="15" t="s">
        <v>190</v>
      </c>
      <c r="B21" s="16">
        <f>B19+B20</f>
        <v>11245.714285714286</v>
      </c>
      <c r="C21" s="16">
        <f>C19+C20</f>
        <v>11265.714285714286</v>
      </c>
      <c r="D21" s="16">
        <f>D19+D20</f>
        <v>24785.714285714286</v>
      </c>
      <c r="E21" s="16">
        <f>E19+E20</f>
        <v>24429.714285714286</v>
      </c>
      <c r="F21" s="16"/>
      <c r="G21" s="16">
        <f>SUM(B21:F21)</f>
        <v>71726.857142857145</v>
      </c>
    </row>
    <row r="22" spans="1:7" ht="20" customHeight="1" x14ac:dyDescent="0.35"/>
    <row r="23" spans="1:7" ht="20" customHeight="1" x14ac:dyDescent="0.35">
      <c r="A23" s="32" t="s">
        <v>191</v>
      </c>
      <c r="B23" s="31"/>
      <c r="C23" s="31"/>
      <c r="D23" s="31"/>
      <c r="E23" s="31"/>
      <c r="F23" s="31"/>
      <c r="G23" s="31"/>
    </row>
    <row r="24" spans="1:7" ht="20" customHeight="1" x14ac:dyDescent="0.35">
      <c r="A24" s="2" t="s">
        <v>192</v>
      </c>
      <c r="B24" s="14">
        <f>B16-B19</f>
        <v>9840</v>
      </c>
      <c r="C24" s="14">
        <f>C16-C19</f>
        <v>32620</v>
      </c>
      <c r="D24" s="14">
        <f>D16-D19</f>
        <v>57500</v>
      </c>
      <c r="E24" s="14">
        <f>E16-E19</f>
        <v>91456</v>
      </c>
      <c r="F24" s="14"/>
      <c r="G24" s="5" t="s">
        <v>193</v>
      </c>
    </row>
    <row r="25" spans="1:7" ht="20" customHeight="1" x14ac:dyDescent="0.35">
      <c r="A25" s="2" t="s">
        <v>194</v>
      </c>
      <c r="B25" s="14">
        <f>B16-B21</f>
        <v>-445.71428571428623</v>
      </c>
      <c r="C25" s="14">
        <f>C16-C21</f>
        <v>22334.285714285714</v>
      </c>
      <c r="D25" s="14">
        <f>D16-D21</f>
        <v>47214.28571428571</v>
      </c>
      <c r="E25" s="14">
        <f>E16-E21</f>
        <v>81170.28571428571</v>
      </c>
      <c r="F25" s="14"/>
      <c r="G25" s="5" t="s">
        <v>195</v>
      </c>
    </row>
    <row r="26" spans="1:7" ht="20" customHeight="1" x14ac:dyDescent="0.35">
      <c r="A26" s="2" t="s">
        <v>196</v>
      </c>
      <c r="B26" s="25">
        <f>1/(1+$B$5)^1</f>
        <v>0.89285714285714279</v>
      </c>
      <c r="C26" s="25">
        <f>1/(1+$B$5)^2</f>
        <v>0.79719387755102034</v>
      </c>
      <c r="D26" s="25">
        <f>1/(1+$B$5)^3</f>
        <v>0.71178024781341087</v>
      </c>
      <c r="E26" s="25">
        <f>1/(1+$B$5)^4</f>
        <v>0.63551807840483121</v>
      </c>
      <c r="F26" s="25"/>
      <c r="G26" s="5" t="s">
        <v>197</v>
      </c>
    </row>
    <row r="27" spans="1:7" ht="20" customHeight="1" x14ac:dyDescent="0.35">
      <c r="A27" s="2" t="s">
        <v>198</v>
      </c>
      <c r="B27" s="14">
        <f>B24*B26</f>
        <v>8785.7142857142844</v>
      </c>
      <c r="C27" s="14">
        <f>C24*C26</f>
        <v>26004.464285714283</v>
      </c>
      <c r="D27" s="14">
        <f>D24*D26</f>
        <v>40927.364249271122</v>
      </c>
      <c r="E27" s="14">
        <f>E24*E26</f>
        <v>58121.941378592244</v>
      </c>
      <c r="F27" s="14"/>
      <c r="G27" s="5" t="s">
        <v>199</v>
      </c>
    </row>
    <row r="28" spans="1:7" ht="20" customHeight="1" x14ac:dyDescent="0.35">
      <c r="A28" s="2" t="s">
        <v>200</v>
      </c>
      <c r="B28" s="14">
        <f>B25*B26</f>
        <v>-397.95918367346985</v>
      </c>
      <c r="C28" s="14">
        <f>C25*C26</f>
        <v>17804.755830903789</v>
      </c>
      <c r="D28" s="14">
        <f>D25*D26</f>
        <v>33606.195986047467</v>
      </c>
      <c r="E28" s="14">
        <f>E25*E26</f>
        <v>51585.184000713976</v>
      </c>
      <c r="F28" s="14"/>
      <c r="G28" s="5" t="s">
        <v>201</v>
      </c>
    </row>
    <row r="29" spans="1:7" ht="20" customHeight="1" x14ac:dyDescent="0.35"/>
    <row r="30" spans="1:7" ht="24" customHeight="1" x14ac:dyDescent="0.35">
      <c r="A30" s="22" t="s">
        <v>202</v>
      </c>
      <c r="B30" s="39">
        <f>SUM(B27:F27)-B6</f>
        <v>133839.48419929194</v>
      </c>
      <c r="C30" s="31"/>
      <c r="D30" s="31"/>
      <c r="E30" s="31"/>
      <c r="F30" s="31"/>
      <c r="G30" s="26" t="s">
        <v>203</v>
      </c>
    </row>
    <row r="31" spans="1:7" ht="24" customHeight="1" x14ac:dyDescent="0.35">
      <c r="A31" s="27" t="s">
        <v>204</v>
      </c>
      <c r="B31" s="36">
        <f>SUM(B28:F28)-B6</f>
        <v>102598.17663399177</v>
      </c>
      <c r="C31" s="31"/>
      <c r="D31" s="31"/>
      <c r="E31" s="31"/>
      <c r="F31" s="31"/>
      <c r="G31" s="28" t="s">
        <v>205</v>
      </c>
    </row>
    <row r="32" spans="1:7" ht="20" customHeight="1" x14ac:dyDescent="0.35">
      <c r="A32" s="32" t="s">
        <v>206</v>
      </c>
      <c r="B32" s="31"/>
      <c r="C32" s="31"/>
      <c r="D32" s="31"/>
      <c r="E32" s="31"/>
      <c r="F32" s="31"/>
      <c r="G32" s="31"/>
    </row>
    <row r="33" spans="1:7" ht="32" customHeight="1" x14ac:dyDescent="0.35">
      <c r="A33" s="29" t="s">
        <v>207</v>
      </c>
      <c r="B33" s="38" t="s">
        <v>208</v>
      </c>
      <c r="C33" s="31"/>
      <c r="D33" s="31"/>
      <c r="E33" s="31"/>
      <c r="F33" s="31"/>
      <c r="G33" s="31"/>
    </row>
    <row r="34" spans="1:7" ht="32" customHeight="1" x14ac:dyDescent="0.35">
      <c r="A34" s="29" t="s">
        <v>209</v>
      </c>
      <c r="B34" s="38" t="s">
        <v>210</v>
      </c>
      <c r="C34" s="31"/>
      <c r="D34" s="31"/>
      <c r="E34" s="31"/>
      <c r="F34" s="31"/>
      <c r="G34" s="31"/>
    </row>
    <row r="35" spans="1:7" ht="32" customHeight="1" x14ac:dyDescent="0.35">
      <c r="A35" s="29" t="s">
        <v>211</v>
      </c>
      <c r="B35" s="38" t="s">
        <v>212</v>
      </c>
      <c r="C35" s="31"/>
      <c r="D35" s="31"/>
      <c r="E35" s="31"/>
      <c r="F35" s="31"/>
      <c r="G35" s="31"/>
    </row>
    <row r="36" spans="1:7" ht="32" customHeight="1" x14ac:dyDescent="0.35">
      <c r="A36" s="29" t="s">
        <v>213</v>
      </c>
      <c r="B36" s="38" t="s">
        <v>214</v>
      </c>
      <c r="C36" s="31"/>
      <c r="D36" s="31"/>
      <c r="E36" s="31"/>
      <c r="F36" s="31"/>
      <c r="G36" s="31"/>
    </row>
    <row r="37" spans="1:7" ht="20" customHeight="1" x14ac:dyDescent="0.35"/>
    <row r="38" spans="1:7" ht="20" customHeight="1" x14ac:dyDescent="0.35"/>
    <row r="39" spans="1:7" ht="20" customHeight="1" x14ac:dyDescent="0.35"/>
  </sheetData>
  <mergeCells count="21">
    <mergeCell ref="A1:G1"/>
    <mergeCell ref="B36:G36"/>
    <mergeCell ref="D6:G6"/>
    <mergeCell ref="B35:G35"/>
    <mergeCell ref="G10"/>
    <mergeCell ref="G13"/>
    <mergeCell ref="B30:F30"/>
    <mergeCell ref="A18:G18"/>
    <mergeCell ref="G15"/>
    <mergeCell ref="A2:G2"/>
    <mergeCell ref="G14"/>
    <mergeCell ref="A23:G23"/>
    <mergeCell ref="A32:G32"/>
    <mergeCell ref="A4:G4"/>
    <mergeCell ref="B31:F31"/>
    <mergeCell ref="D5:G5"/>
    <mergeCell ref="B34:G34"/>
    <mergeCell ref="A9:G9"/>
    <mergeCell ref="G12"/>
    <mergeCell ref="G11"/>
    <mergeCell ref="B33:G3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Supuestos</vt:lpstr>
      <vt:lpstr>Costos Fijos Recurrentes</vt:lpstr>
      <vt:lpstr>Resumen VAN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Carmen Rodriguez</cp:lastModifiedBy>
  <dcterms:created xsi:type="dcterms:W3CDTF">2026-05-22T01:43:12Z</dcterms:created>
  <dcterms:modified xsi:type="dcterms:W3CDTF">2026-05-22T02:47:23Z</dcterms:modified>
</cp:coreProperties>
</file>